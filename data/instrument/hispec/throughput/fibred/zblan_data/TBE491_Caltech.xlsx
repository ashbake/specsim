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30"/>
  <workbookPr/>
  <mc:AlternateContent xmlns:mc="http://schemas.openxmlformats.org/markup-compatibility/2006">
    <mc:Choice Requires="x15">
      <x15ac:absPath xmlns:x15ac="http://schemas.microsoft.com/office/spreadsheetml/2010/11/ac" url="D:\working\waccache\BY3PEPF0000EBD6\EXCELCNV\33e465c5-ff63-4068-8643-b0a7ef57323d\"/>
    </mc:Choice>
  </mc:AlternateContent>
  <xr:revisionPtr revIDLastSave="0" documentId="8_{DB10D160-C4AA-495F-9A1D-C70079D1E7E3}" xr6:coauthVersionLast="47" xr6:coauthVersionMax="47" xr10:uidLastSave="{00000000-0000-0000-0000-000000000000}"/>
  <bookViews>
    <workbookView xWindow="-60" yWindow="-60" windowWidth="15480" windowHeight="11640" xr2:uid="{6C2E0558-51AC-4DD0-88F8-F9E4DAA4B966}"/>
  </bookViews>
  <sheets>
    <sheet name="Courbe" sheetId="6" r:id="rId1"/>
    <sheet name="TBE491" sheetId="7" r:id="rId2"/>
  </sheets>
  <definedNames>
    <definedName name="_xlnm.Print_Area" localSheetId="1">'TBE491'!$E$1:$R$54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7" l="1"/>
  <c r="F5" i="7"/>
  <c r="D6" i="7"/>
  <c r="F6" i="7"/>
  <c r="D7" i="7"/>
  <c r="F7" i="7"/>
  <c r="D8" i="7"/>
  <c r="F8" i="7"/>
  <c r="D9" i="7"/>
  <c r="F9" i="7"/>
  <c r="D10" i="7"/>
  <c r="F10" i="7"/>
  <c r="D11" i="7"/>
  <c r="F11" i="7"/>
  <c r="D12" i="7"/>
  <c r="F12" i="7"/>
  <c r="D13" i="7"/>
  <c r="D14" i="7"/>
  <c r="F14" i="7"/>
  <c r="D15" i="7"/>
  <c r="F15" i="7"/>
  <c r="D16" i="7"/>
  <c r="F16" i="7"/>
  <c r="D17" i="7"/>
  <c r="F17" i="7"/>
  <c r="D18" i="7"/>
  <c r="F18" i="7"/>
  <c r="D19" i="7"/>
  <c r="F19" i="7"/>
  <c r="D20" i="7"/>
  <c r="F20" i="7"/>
  <c r="D21" i="7"/>
  <c r="F21" i="7"/>
  <c r="D22" i="7"/>
  <c r="F22" i="7"/>
  <c r="D23" i="7"/>
  <c r="F23" i="7"/>
  <c r="D24" i="7"/>
  <c r="F24" i="7"/>
  <c r="D25" i="7"/>
  <c r="F25" i="7"/>
  <c r="D26" i="7"/>
  <c r="F26" i="7"/>
  <c r="D27" i="7"/>
  <c r="F27" i="7"/>
  <c r="D28" i="7"/>
  <c r="F28" i="7"/>
  <c r="D29" i="7"/>
  <c r="F29" i="7"/>
  <c r="D30" i="7"/>
  <c r="F30" i="7"/>
  <c r="D31" i="7"/>
  <c r="F31" i="7"/>
  <c r="D32" i="7"/>
  <c r="F32" i="7"/>
  <c r="D33" i="7"/>
  <c r="F33" i="7"/>
  <c r="D34" i="7"/>
  <c r="F34" i="7"/>
  <c r="D35" i="7"/>
  <c r="F35" i="7"/>
  <c r="D36" i="7"/>
  <c r="F36" i="7"/>
  <c r="D37" i="7"/>
  <c r="F37" i="7"/>
  <c r="D38" i="7"/>
  <c r="F38" i="7"/>
  <c r="D39" i="7"/>
  <c r="F39" i="7"/>
  <c r="D40" i="7"/>
  <c r="F40" i="7"/>
  <c r="D41" i="7"/>
  <c r="F41" i="7"/>
  <c r="D42" i="7"/>
  <c r="F42" i="7"/>
  <c r="D43" i="7"/>
  <c r="F43" i="7"/>
  <c r="D44" i="7"/>
  <c r="F44" i="7"/>
  <c r="D45" i="7"/>
  <c r="F45" i="7"/>
  <c r="D46" i="7"/>
  <c r="F46" i="7"/>
  <c r="D47" i="7"/>
  <c r="F47" i="7"/>
  <c r="D48" i="7"/>
  <c r="F48" i="7"/>
  <c r="D49" i="7"/>
  <c r="F49" i="7"/>
  <c r="D50" i="7"/>
  <c r="F50" i="7"/>
  <c r="D51" i="7"/>
  <c r="F51" i="7"/>
  <c r="D52" i="7"/>
  <c r="F52" i="7"/>
  <c r="D53" i="7"/>
  <c r="F53" i="7"/>
  <c r="D54" i="7"/>
  <c r="F54" i="7"/>
  <c r="D55" i="7"/>
  <c r="H4" i="7"/>
  <c r="D56" i="7"/>
  <c r="H5" i="7"/>
  <c r="D57" i="7"/>
  <c r="H6" i="7"/>
  <c r="D58" i="7"/>
  <c r="H7" i="7"/>
  <c r="D59" i="7"/>
  <c r="H8" i="7"/>
  <c r="D60" i="7"/>
  <c r="H9" i="7"/>
  <c r="D61" i="7"/>
  <c r="H10" i="7"/>
  <c r="D62" i="7"/>
  <c r="H11" i="7"/>
  <c r="D63" i="7"/>
  <c r="H12" i="7"/>
  <c r="D64" i="7"/>
  <c r="H13" i="7"/>
  <c r="D65" i="7"/>
  <c r="H14" i="7"/>
  <c r="D66" i="7"/>
  <c r="H15" i="7"/>
  <c r="D67" i="7"/>
  <c r="H16" i="7"/>
  <c r="D68" i="7"/>
  <c r="H17" i="7"/>
  <c r="D69" i="7"/>
  <c r="H18" i="7"/>
  <c r="D70" i="7"/>
  <c r="H19" i="7"/>
  <c r="D71" i="7"/>
  <c r="H20" i="7"/>
  <c r="D72" i="7"/>
  <c r="H21" i="7"/>
  <c r="D73" i="7"/>
  <c r="H22" i="7"/>
  <c r="D74" i="7"/>
  <c r="H23" i="7"/>
  <c r="D75" i="7"/>
  <c r="H24" i="7"/>
  <c r="D76" i="7"/>
  <c r="H25" i="7"/>
  <c r="D77" i="7"/>
  <c r="H26" i="7"/>
  <c r="D78" i="7"/>
  <c r="H27" i="7"/>
  <c r="D79" i="7"/>
  <c r="H28" i="7"/>
  <c r="D80" i="7"/>
  <c r="H29" i="7"/>
  <c r="D81" i="7"/>
  <c r="H30" i="7"/>
  <c r="D82" i="7"/>
  <c r="H31" i="7"/>
  <c r="D83" i="7"/>
  <c r="H32" i="7"/>
  <c r="D84" i="7"/>
  <c r="H33" i="7"/>
  <c r="D85" i="7"/>
  <c r="H34" i="7"/>
  <c r="D86" i="7"/>
  <c r="H35" i="7"/>
  <c r="D87" i="7"/>
  <c r="H36" i="7"/>
  <c r="D88" i="7"/>
  <c r="H37" i="7"/>
  <c r="D89" i="7"/>
  <c r="H38" i="7"/>
  <c r="D90" i="7"/>
  <c r="H39" i="7"/>
  <c r="D91" i="7"/>
  <c r="H40" i="7"/>
  <c r="D92" i="7"/>
  <c r="H41" i="7"/>
  <c r="D93" i="7"/>
  <c r="H42" i="7"/>
  <c r="D94" i="7"/>
  <c r="H43" i="7"/>
  <c r="D95" i="7"/>
  <c r="H44" i="7"/>
  <c r="D96" i="7"/>
  <c r="H45" i="7"/>
  <c r="D97" i="7"/>
  <c r="H46" i="7"/>
  <c r="D98" i="7"/>
  <c r="H47" i="7"/>
  <c r="D99" i="7"/>
  <c r="H48" i="7"/>
  <c r="D100" i="7"/>
  <c r="H49" i="7"/>
  <c r="D101" i="7"/>
  <c r="H50" i="7"/>
  <c r="D102" i="7"/>
  <c r="H51" i="7"/>
  <c r="D103" i="7"/>
  <c r="H52" i="7"/>
  <c r="D104" i="7"/>
  <c r="H53" i="7"/>
  <c r="D105" i="7"/>
  <c r="H54" i="7"/>
  <c r="D106" i="7"/>
  <c r="J4" i="7"/>
  <c r="D107" i="7"/>
  <c r="J5" i="7"/>
  <c r="D108" i="7"/>
  <c r="J6" i="7"/>
  <c r="D109" i="7"/>
  <c r="J7" i="7"/>
  <c r="D110" i="7"/>
  <c r="J8" i="7"/>
  <c r="D111" i="7"/>
  <c r="J9" i="7"/>
  <c r="D112" i="7"/>
  <c r="J10" i="7"/>
  <c r="D113" i="7"/>
  <c r="J11" i="7"/>
  <c r="D114" i="7"/>
  <c r="J12" i="7"/>
  <c r="D115" i="7"/>
  <c r="J13" i="7"/>
  <c r="D116" i="7"/>
  <c r="J14" i="7"/>
  <c r="D117" i="7"/>
  <c r="J15" i="7"/>
  <c r="D118" i="7"/>
  <c r="J16" i="7"/>
  <c r="D119" i="7"/>
  <c r="J17" i="7"/>
  <c r="D120" i="7"/>
  <c r="J18" i="7"/>
  <c r="D121" i="7"/>
  <c r="D122" i="7"/>
  <c r="J20" i="7"/>
  <c r="D123" i="7"/>
  <c r="J21" i="7"/>
  <c r="D124" i="7"/>
  <c r="J22" i="7"/>
  <c r="D125" i="7"/>
  <c r="J23" i="7"/>
  <c r="D126" i="7"/>
  <c r="J24" i="7"/>
  <c r="D127" i="7"/>
  <c r="J25" i="7"/>
  <c r="D128" i="7"/>
  <c r="J26" i="7"/>
  <c r="D129" i="7"/>
  <c r="J27" i="7"/>
  <c r="D130" i="7"/>
  <c r="J28" i="7"/>
  <c r="D131" i="7"/>
  <c r="J29" i="7"/>
  <c r="D132" i="7"/>
  <c r="J30" i="7"/>
  <c r="D133" i="7"/>
  <c r="J31" i="7"/>
  <c r="D134" i="7"/>
  <c r="J32" i="7"/>
  <c r="D135" i="7"/>
  <c r="J33" i="7"/>
  <c r="D136" i="7"/>
  <c r="J34" i="7"/>
  <c r="D137" i="7"/>
  <c r="J35" i="7"/>
  <c r="D138" i="7"/>
  <c r="J36" i="7"/>
  <c r="D139" i="7"/>
  <c r="J37" i="7"/>
  <c r="D140" i="7"/>
  <c r="J38" i="7"/>
  <c r="D141" i="7"/>
  <c r="J39" i="7"/>
  <c r="D142" i="7"/>
  <c r="J40" i="7"/>
  <c r="D143" i="7"/>
  <c r="J41" i="7"/>
  <c r="D144" i="7"/>
  <c r="J42" i="7"/>
  <c r="D145" i="7"/>
  <c r="J43" i="7"/>
  <c r="D146" i="7"/>
  <c r="J44" i="7"/>
  <c r="D147" i="7"/>
  <c r="J45" i="7"/>
  <c r="D148" i="7"/>
  <c r="J46" i="7"/>
  <c r="D149" i="7"/>
  <c r="J47" i="7"/>
  <c r="D150" i="7"/>
  <c r="J48" i="7"/>
  <c r="D151" i="7"/>
  <c r="J49" i="7"/>
  <c r="D152" i="7"/>
  <c r="J50" i="7"/>
  <c r="D153" i="7"/>
  <c r="J51" i="7"/>
  <c r="D154" i="7"/>
  <c r="J52" i="7"/>
  <c r="D155" i="7"/>
  <c r="J53" i="7"/>
  <c r="D156" i="7"/>
  <c r="J54" i="7"/>
  <c r="D157" i="7"/>
  <c r="L4" i="7"/>
  <c r="D158" i="7"/>
  <c r="L5" i="7"/>
  <c r="D159" i="7"/>
  <c r="L6" i="7"/>
  <c r="D160" i="7"/>
  <c r="L7" i="7"/>
  <c r="D161" i="7"/>
  <c r="L8" i="7"/>
  <c r="D162" i="7"/>
  <c r="L9" i="7"/>
  <c r="D163" i="7"/>
  <c r="L10" i="7"/>
  <c r="D164" i="7"/>
  <c r="L11" i="7"/>
  <c r="D165" i="7"/>
  <c r="L12" i="7"/>
  <c r="D166" i="7"/>
  <c r="L13" i="7"/>
  <c r="D167" i="7"/>
  <c r="L14" i="7"/>
  <c r="D168" i="7"/>
  <c r="L15" i="7"/>
  <c r="D169" i="7"/>
  <c r="L16" i="7"/>
  <c r="D170" i="7"/>
  <c r="L17" i="7"/>
  <c r="D171" i="7"/>
  <c r="L18" i="7"/>
  <c r="D172" i="7"/>
  <c r="L19" i="7"/>
  <c r="D173" i="7"/>
  <c r="L20" i="7"/>
  <c r="D174" i="7"/>
  <c r="L21" i="7"/>
  <c r="D175" i="7"/>
  <c r="L22" i="7"/>
  <c r="D176" i="7"/>
  <c r="L23" i="7"/>
  <c r="D177" i="7"/>
  <c r="L24" i="7"/>
  <c r="D178" i="7"/>
  <c r="L25" i="7"/>
  <c r="D179" i="7"/>
  <c r="L26" i="7"/>
  <c r="D180" i="7"/>
  <c r="L27" i="7"/>
  <c r="D181" i="7"/>
  <c r="L28" i="7"/>
  <c r="D182" i="7"/>
  <c r="L29" i="7"/>
  <c r="D183" i="7"/>
  <c r="L30" i="7"/>
  <c r="D184" i="7"/>
  <c r="L31" i="7"/>
  <c r="D185" i="7"/>
  <c r="L32" i="7"/>
  <c r="D186" i="7"/>
  <c r="L33" i="7"/>
  <c r="D187" i="7"/>
  <c r="L34" i="7"/>
  <c r="D188" i="7"/>
  <c r="L35" i="7"/>
  <c r="D189" i="7"/>
  <c r="L36" i="7"/>
  <c r="D190" i="7"/>
  <c r="L37" i="7"/>
  <c r="D191" i="7"/>
  <c r="L38" i="7"/>
  <c r="D192" i="7"/>
  <c r="L39" i="7"/>
  <c r="D193" i="7"/>
  <c r="L40" i="7"/>
  <c r="D194" i="7"/>
  <c r="L41" i="7"/>
  <c r="D195" i="7"/>
  <c r="L42" i="7"/>
  <c r="D196" i="7"/>
  <c r="L43" i="7"/>
  <c r="D197" i="7"/>
  <c r="L44" i="7"/>
  <c r="D198" i="7"/>
  <c r="L45" i="7"/>
  <c r="D199" i="7"/>
  <c r="L46" i="7"/>
  <c r="D200" i="7"/>
  <c r="L47" i="7"/>
  <c r="D201" i="7"/>
  <c r="L48" i="7"/>
  <c r="D202" i="7"/>
  <c r="L49" i="7"/>
  <c r="D203" i="7"/>
  <c r="L50" i="7"/>
  <c r="D204" i="7"/>
  <c r="L51" i="7"/>
  <c r="D205" i="7"/>
  <c r="L52" i="7"/>
  <c r="D206" i="7"/>
  <c r="L53" i="7"/>
  <c r="D207" i="7"/>
  <c r="L54" i="7"/>
  <c r="D208" i="7"/>
  <c r="N4" i="7"/>
  <c r="D209" i="7"/>
  <c r="N5" i="7"/>
  <c r="D210" i="7"/>
  <c r="N6" i="7"/>
  <c r="D211" i="7"/>
  <c r="N7" i="7"/>
  <c r="D212" i="7"/>
  <c r="N8" i="7"/>
  <c r="D213" i="7"/>
  <c r="N9" i="7"/>
  <c r="D214" i="7"/>
  <c r="N10" i="7"/>
  <c r="D215" i="7"/>
  <c r="N11" i="7"/>
  <c r="D216" i="7"/>
  <c r="N12" i="7"/>
  <c r="D217" i="7"/>
  <c r="N13" i="7"/>
  <c r="D218" i="7"/>
  <c r="N14" i="7"/>
  <c r="D219" i="7"/>
  <c r="N15" i="7"/>
  <c r="D220" i="7"/>
  <c r="N16" i="7"/>
  <c r="D221" i="7"/>
  <c r="N17" i="7"/>
  <c r="D222" i="7"/>
  <c r="N18" i="7"/>
  <c r="D223" i="7"/>
  <c r="N19" i="7"/>
  <c r="D224" i="7"/>
  <c r="N20" i="7"/>
  <c r="D225" i="7"/>
  <c r="N21" i="7"/>
  <c r="D226" i="7"/>
  <c r="N22" i="7"/>
  <c r="D227" i="7"/>
  <c r="N23" i="7"/>
  <c r="D228" i="7"/>
  <c r="N24" i="7"/>
  <c r="D229" i="7"/>
  <c r="N25" i="7"/>
  <c r="D230" i="7"/>
  <c r="N26" i="7"/>
  <c r="D231" i="7"/>
  <c r="N27" i="7"/>
  <c r="D232" i="7"/>
  <c r="N28" i="7"/>
  <c r="D233" i="7"/>
  <c r="N29" i="7"/>
  <c r="D234" i="7"/>
  <c r="N30" i="7"/>
  <c r="D235" i="7"/>
  <c r="N31" i="7"/>
  <c r="D236" i="7"/>
  <c r="N32" i="7"/>
  <c r="D237" i="7"/>
  <c r="N33" i="7"/>
  <c r="D238" i="7"/>
  <c r="N34" i="7"/>
  <c r="D239" i="7"/>
  <c r="N35" i="7"/>
  <c r="D240" i="7"/>
  <c r="N36" i="7"/>
  <c r="D241" i="7"/>
  <c r="N37" i="7"/>
  <c r="D242" i="7"/>
  <c r="N38" i="7"/>
  <c r="D243" i="7"/>
  <c r="N39" i="7"/>
  <c r="D244" i="7"/>
  <c r="N40" i="7"/>
  <c r="D245" i="7"/>
  <c r="N41" i="7"/>
  <c r="D246" i="7"/>
  <c r="N42" i="7"/>
  <c r="D247" i="7"/>
  <c r="N43" i="7"/>
  <c r="D248" i="7"/>
  <c r="N44" i="7"/>
  <c r="D249" i="7"/>
  <c r="N45" i="7"/>
  <c r="D250" i="7"/>
  <c r="N46" i="7"/>
  <c r="D251" i="7"/>
  <c r="N47" i="7"/>
  <c r="D252" i="7"/>
  <c r="N48" i="7"/>
  <c r="D253" i="7"/>
  <c r="N49" i="7"/>
  <c r="D254" i="7"/>
  <c r="N50" i="7"/>
  <c r="J19" i="7"/>
  <c r="F13" i="7"/>
  <c r="N53" i="7"/>
  <c r="N54" i="7"/>
  <c r="P6" i="7"/>
  <c r="P10" i="7"/>
  <c r="P11" i="7"/>
  <c r="P12" i="7"/>
  <c r="P14" i="7"/>
  <c r="P19" i="7"/>
  <c r="P20" i="7"/>
  <c r="P22" i="7"/>
  <c r="P24" i="7"/>
  <c r="P25" i="7"/>
  <c r="P26" i="7"/>
  <c r="P27" i="7"/>
  <c r="P28" i="7"/>
  <c r="P29" i="7"/>
  <c r="D4" i="7"/>
  <c r="F4" i="7"/>
  <c r="N52" i="7"/>
  <c r="P4" i="7"/>
  <c r="P5" i="7"/>
  <c r="P8" i="7"/>
  <c r="P9" i="7"/>
  <c r="N51" i="7"/>
  <c r="P7" i="7"/>
  <c r="P13" i="7"/>
  <c r="P16" i="7"/>
  <c r="P17" i="7"/>
  <c r="P15" i="7"/>
  <c r="P18" i="7"/>
  <c r="P21" i="7"/>
  <c r="P23" i="7"/>
  <c r="P30" i="7"/>
  <c r="P31" i="7"/>
  <c r="P33" i="7"/>
  <c r="P34" i="7"/>
  <c r="P35" i="7"/>
  <c r="P37" i="7"/>
  <c r="P38" i="7"/>
  <c r="P39" i="7"/>
  <c r="P40" i="7"/>
  <c r="P41" i="7"/>
  <c r="P42" i="7"/>
  <c r="P43" i="7"/>
  <c r="P45" i="7"/>
  <c r="P46" i="7"/>
  <c r="P47" i="7"/>
  <c r="P48" i="7"/>
  <c r="P49" i="7"/>
  <c r="P32" i="7"/>
  <c r="P36" i="7"/>
  <c r="P44" i="7"/>
  <c r="P51" i="7"/>
  <c r="P52" i="7"/>
  <c r="P53" i="7"/>
  <c r="P54" i="7"/>
  <c r="R6" i="7"/>
  <c r="R7" i="7"/>
  <c r="R9" i="7"/>
  <c r="R10" i="7"/>
  <c r="R12" i="7"/>
  <c r="R13" i="7"/>
  <c r="R14" i="7"/>
  <c r="R15" i="7"/>
  <c r="R16" i="7"/>
  <c r="R18" i="7"/>
  <c r="R19" i="7"/>
  <c r="R21" i="7"/>
  <c r="R22" i="7"/>
  <c r="R24" i="7"/>
  <c r="R25" i="7"/>
  <c r="R26" i="7"/>
  <c r="R31" i="7"/>
  <c r="R32" i="7"/>
  <c r="R33" i="7"/>
  <c r="R34" i="7"/>
  <c r="R35" i="7"/>
  <c r="R36" i="7"/>
  <c r="R37" i="7"/>
  <c r="R38" i="7"/>
  <c r="R40" i="7"/>
  <c r="R41" i="7"/>
  <c r="R42" i="7"/>
  <c r="R45" i="7"/>
  <c r="R47" i="7"/>
  <c r="I28" i="7"/>
  <c r="P50" i="7"/>
  <c r="R5" i="7"/>
  <c r="R8" i="7"/>
  <c r="R17" i="7"/>
  <c r="R20" i="7"/>
  <c r="R23" i="7"/>
  <c r="R29" i="7"/>
  <c r="R30" i="7"/>
  <c r="R39" i="7"/>
  <c r="R43" i="7"/>
  <c r="R50" i="7"/>
  <c r="R51" i="7"/>
  <c r="R53" i="7"/>
  <c r="R54" i="7"/>
  <c r="R28" i="7"/>
  <c r="R44" i="7"/>
  <c r="R46" i="7"/>
  <c r="R4" i="7"/>
  <c r="R11" i="7"/>
  <c r="R48" i="7"/>
  <c r="E4" i="7"/>
  <c r="G4" i="7"/>
  <c r="I4" i="7"/>
  <c r="K4" i="7"/>
  <c r="M4" i="7"/>
  <c r="O4" i="7"/>
  <c r="Q4" i="7"/>
  <c r="E5" i="7"/>
  <c r="G5" i="7"/>
  <c r="I5" i="7"/>
  <c r="K5" i="7"/>
  <c r="M5" i="7"/>
  <c r="O5" i="7"/>
  <c r="Q5" i="7"/>
  <c r="E6" i="7"/>
  <c r="G6" i="7"/>
  <c r="I6" i="7"/>
  <c r="K6" i="7"/>
  <c r="M6" i="7"/>
  <c r="O6" i="7"/>
  <c r="Q6" i="7"/>
  <c r="E7" i="7"/>
  <c r="G7" i="7"/>
  <c r="I7" i="7"/>
  <c r="K7" i="7"/>
  <c r="M7" i="7"/>
  <c r="O7" i="7"/>
  <c r="Q7" i="7"/>
  <c r="E8" i="7"/>
  <c r="G8" i="7"/>
  <c r="I8" i="7"/>
  <c r="K8" i="7"/>
  <c r="M8" i="7"/>
  <c r="O8" i="7"/>
  <c r="Q8" i="7"/>
  <c r="E9" i="7"/>
  <c r="G9" i="7"/>
  <c r="I9" i="7"/>
  <c r="K9" i="7"/>
  <c r="M9" i="7"/>
  <c r="O9" i="7"/>
  <c r="Q9" i="7"/>
  <c r="E10" i="7"/>
  <c r="G10" i="7"/>
  <c r="I10" i="7"/>
  <c r="K10" i="7"/>
  <c r="M10" i="7"/>
  <c r="O10" i="7"/>
  <c r="Q10" i="7"/>
  <c r="E11" i="7"/>
  <c r="G11" i="7"/>
  <c r="I11" i="7"/>
  <c r="K11" i="7"/>
  <c r="M11" i="7"/>
  <c r="O11" i="7"/>
  <c r="Q11" i="7"/>
  <c r="E12" i="7"/>
  <c r="G12" i="7"/>
  <c r="I12" i="7"/>
  <c r="K12" i="7"/>
  <c r="M12" i="7"/>
  <c r="O12" i="7"/>
  <c r="Q12" i="7"/>
  <c r="E13" i="7"/>
  <c r="G13" i="7"/>
  <c r="I13" i="7"/>
  <c r="K13" i="7"/>
  <c r="M13" i="7"/>
  <c r="O13" i="7"/>
  <c r="Q13" i="7"/>
  <c r="E14" i="7"/>
  <c r="G14" i="7"/>
  <c r="I14" i="7"/>
  <c r="K14" i="7"/>
  <c r="M14" i="7"/>
  <c r="O14" i="7"/>
  <c r="Q14" i="7"/>
  <c r="E15" i="7"/>
  <c r="G15" i="7"/>
  <c r="I15" i="7"/>
  <c r="K15" i="7"/>
  <c r="M15" i="7"/>
  <c r="O15" i="7"/>
  <c r="Q15" i="7"/>
  <c r="E16" i="7"/>
  <c r="G16" i="7"/>
  <c r="I16" i="7"/>
  <c r="K16" i="7"/>
  <c r="M16" i="7"/>
  <c r="O16" i="7"/>
  <c r="Q16" i="7"/>
  <c r="E17" i="7"/>
  <c r="G17" i="7"/>
  <c r="I17" i="7"/>
  <c r="K17" i="7"/>
  <c r="M17" i="7"/>
  <c r="O17" i="7"/>
  <c r="Q17" i="7"/>
  <c r="E18" i="7"/>
  <c r="G18" i="7"/>
  <c r="I18" i="7"/>
  <c r="K18" i="7"/>
  <c r="M18" i="7"/>
  <c r="O18" i="7"/>
  <c r="Q18" i="7"/>
  <c r="E19" i="7"/>
  <c r="G19" i="7"/>
  <c r="I19" i="7"/>
  <c r="K19" i="7"/>
  <c r="M19" i="7"/>
  <c r="O19" i="7"/>
  <c r="Q19" i="7"/>
  <c r="E20" i="7"/>
  <c r="G20" i="7"/>
  <c r="I20" i="7"/>
  <c r="K20" i="7"/>
  <c r="M20" i="7"/>
  <c r="O20" i="7"/>
  <c r="Q20" i="7"/>
  <c r="E21" i="7"/>
  <c r="G21" i="7"/>
  <c r="I21" i="7"/>
  <c r="K21" i="7"/>
  <c r="M21" i="7"/>
  <c r="O21" i="7"/>
  <c r="Q21" i="7"/>
  <c r="E22" i="7"/>
  <c r="G22" i="7"/>
  <c r="I22" i="7"/>
  <c r="K22" i="7"/>
  <c r="M22" i="7"/>
  <c r="O22" i="7"/>
  <c r="Q22" i="7"/>
  <c r="E23" i="7"/>
  <c r="G23" i="7"/>
  <c r="I23" i="7"/>
  <c r="K23" i="7"/>
  <c r="M23" i="7"/>
  <c r="O23" i="7"/>
  <c r="Q23" i="7"/>
  <c r="E24" i="7"/>
  <c r="G24" i="7"/>
  <c r="I24" i="7"/>
  <c r="K24" i="7"/>
  <c r="M24" i="7"/>
  <c r="O24" i="7"/>
  <c r="Q24" i="7"/>
  <c r="E25" i="7"/>
  <c r="G25" i="7"/>
  <c r="I25" i="7"/>
  <c r="K25" i="7"/>
  <c r="M25" i="7"/>
  <c r="O25" i="7"/>
  <c r="Q25" i="7"/>
  <c r="E26" i="7"/>
  <c r="G26" i="7"/>
  <c r="I26" i="7"/>
  <c r="K26" i="7"/>
  <c r="M26" i="7"/>
  <c r="O26" i="7"/>
  <c r="Q26" i="7"/>
  <c r="E27" i="7"/>
  <c r="G27" i="7"/>
  <c r="I27" i="7"/>
  <c r="K27" i="7"/>
  <c r="M27" i="7"/>
  <c r="O27" i="7"/>
  <c r="Q27" i="7"/>
  <c r="R27" i="7"/>
  <c r="E28" i="7"/>
  <c r="G28" i="7"/>
  <c r="K28" i="7"/>
  <c r="M28" i="7"/>
  <c r="O28" i="7"/>
  <c r="Q28" i="7"/>
  <c r="E29" i="7"/>
  <c r="G29" i="7"/>
  <c r="I29" i="7"/>
  <c r="K29" i="7"/>
  <c r="M29" i="7"/>
  <c r="O29" i="7"/>
  <c r="Q29" i="7"/>
  <c r="E30" i="7"/>
  <c r="G30" i="7"/>
  <c r="I30" i="7"/>
  <c r="K30" i="7"/>
  <c r="M30" i="7"/>
  <c r="O30" i="7"/>
  <c r="Q30" i="7"/>
  <c r="E31" i="7"/>
  <c r="G31" i="7"/>
  <c r="I31" i="7"/>
  <c r="K31" i="7"/>
  <c r="M31" i="7"/>
  <c r="O31" i="7"/>
  <c r="Q31" i="7"/>
  <c r="E32" i="7"/>
  <c r="G32" i="7"/>
  <c r="I32" i="7"/>
  <c r="K32" i="7"/>
  <c r="M32" i="7"/>
  <c r="O32" i="7"/>
  <c r="Q32" i="7"/>
  <c r="E33" i="7"/>
  <c r="G33" i="7"/>
  <c r="I33" i="7"/>
  <c r="K33" i="7"/>
  <c r="M33" i="7"/>
  <c r="O33" i="7"/>
  <c r="Q33" i="7"/>
  <c r="E34" i="7"/>
  <c r="G34" i="7"/>
  <c r="I34" i="7"/>
  <c r="K34" i="7"/>
  <c r="M34" i="7"/>
  <c r="O34" i="7"/>
  <c r="Q34" i="7"/>
  <c r="E35" i="7"/>
  <c r="G35" i="7"/>
  <c r="I35" i="7"/>
  <c r="K35" i="7"/>
  <c r="M35" i="7"/>
  <c r="O35" i="7"/>
  <c r="Q35" i="7"/>
  <c r="E36" i="7"/>
  <c r="G36" i="7"/>
  <c r="I36" i="7"/>
  <c r="K36" i="7"/>
  <c r="M36" i="7"/>
  <c r="O36" i="7"/>
  <c r="Q36" i="7"/>
  <c r="E37" i="7"/>
  <c r="G37" i="7"/>
  <c r="I37" i="7"/>
  <c r="K37" i="7"/>
  <c r="M37" i="7"/>
  <c r="O37" i="7"/>
  <c r="Q37" i="7"/>
  <c r="E38" i="7"/>
  <c r="G38" i="7"/>
  <c r="I38" i="7"/>
  <c r="K38" i="7"/>
  <c r="M38" i="7"/>
  <c r="O38" i="7"/>
  <c r="Q38" i="7"/>
  <c r="E39" i="7"/>
  <c r="G39" i="7"/>
  <c r="I39" i="7"/>
  <c r="K39" i="7"/>
  <c r="M39" i="7"/>
  <c r="O39" i="7"/>
  <c r="Q39" i="7"/>
  <c r="E40" i="7"/>
  <c r="G40" i="7"/>
  <c r="I40" i="7"/>
  <c r="K40" i="7"/>
  <c r="M40" i="7"/>
  <c r="O40" i="7"/>
  <c r="Q40" i="7"/>
  <c r="E41" i="7"/>
  <c r="G41" i="7"/>
  <c r="I41" i="7"/>
  <c r="K41" i="7"/>
  <c r="M41" i="7"/>
  <c r="O41" i="7"/>
  <c r="Q41" i="7"/>
  <c r="E42" i="7"/>
  <c r="G42" i="7"/>
  <c r="I42" i="7"/>
  <c r="K42" i="7"/>
  <c r="M42" i="7"/>
  <c r="O42" i="7"/>
  <c r="Q42" i="7"/>
  <c r="E43" i="7"/>
  <c r="G43" i="7"/>
  <c r="I43" i="7"/>
  <c r="K43" i="7"/>
  <c r="M43" i="7"/>
  <c r="O43" i="7"/>
  <c r="Q43" i="7"/>
  <c r="E44" i="7"/>
  <c r="G44" i="7"/>
  <c r="I44" i="7"/>
  <c r="K44" i="7"/>
  <c r="M44" i="7"/>
  <c r="O44" i="7"/>
  <c r="Q44" i="7"/>
  <c r="E45" i="7"/>
  <c r="G45" i="7"/>
  <c r="I45" i="7"/>
  <c r="K45" i="7"/>
  <c r="M45" i="7"/>
  <c r="O45" i="7"/>
  <c r="Q45" i="7"/>
  <c r="E46" i="7"/>
  <c r="G46" i="7"/>
  <c r="I46" i="7"/>
  <c r="K46" i="7"/>
  <c r="M46" i="7"/>
  <c r="O46" i="7"/>
  <c r="Q46" i="7"/>
  <c r="E47" i="7"/>
  <c r="G47" i="7"/>
  <c r="I47" i="7"/>
  <c r="K47" i="7"/>
  <c r="M47" i="7"/>
  <c r="O47" i="7"/>
  <c r="Q47" i="7"/>
  <c r="E48" i="7"/>
  <c r="G48" i="7"/>
  <c r="I48" i="7"/>
  <c r="K48" i="7"/>
  <c r="M48" i="7"/>
  <c r="O48" i="7"/>
  <c r="Q48" i="7"/>
  <c r="E49" i="7"/>
  <c r="G49" i="7"/>
  <c r="I49" i="7"/>
  <c r="K49" i="7"/>
  <c r="M49" i="7"/>
  <c r="O49" i="7"/>
  <c r="Q49" i="7"/>
  <c r="R49" i="7"/>
  <c r="E50" i="7"/>
  <c r="G50" i="7"/>
  <c r="I50" i="7"/>
  <c r="K50" i="7"/>
  <c r="M50" i="7"/>
  <c r="O50" i="7"/>
  <c r="Q50" i="7"/>
  <c r="E51" i="7"/>
  <c r="G51" i="7"/>
  <c r="I51" i="7"/>
  <c r="K51" i="7"/>
  <c r="M51" i="7"/>
  <c r="O51" i="7"/>
  <c r="Q51" i="7"/>
  <c r="E52" i="7"/>
  <c r="G52" i="7"/>
  <c r="I52" i="7"/>
  <c r="K52" i="7"/>
  <c r="M52" i="7"/>
  <c r="O52" i="7"/>
  <c r="Q52" i="7"/>
  <c r="R52" i="7"/>
  <c r="E53" i="7"/>
  <c r="G53" i="7"/>
  <c r="I53" i="7"/>
  <c r="K53" i="7"/>
  <c r="M53" i="7"/>
  <c r="O53" i="7"/>
  <c r="Q53" i="7"/>
  <c r="E54" i="7"/>
  <c r="G54" i="7"/>
  <c r="I54" i="7"/>
  <c r="K54" i="7"/>
  <c r="M54" i="7"/>
  <c r="O54" i="7"/>
  <c r="Q54" i="7"/>
</calcChain>
</file>

<file path=xl/sharedStrings.xml><?xml version="1.0" encoding="utf-8"?>
<sst xmlns="http://schemas.openxmlformats.org/spreadsheetml/2006/main" count="26" uniqueCount="10">
  <si>
    <t>Pertes spectrales</t>
  </si>
  <si>
    <t>TBE491</t>
  </si>
  <si>
    <t xml:space="preserve"> </t>
  </si>
  <si>
    <t>Longueur</t>
  </si>
  <si>
    <t>Fibre</t>
  </si>
  <si>
    <t>N° 491</t>
  </si>
  <si>
    <t xml:space="preserve">l </t>
  </si>
  <si>
    <t>I1</t>
  </si>
  <si>
    <t>I2</t>
  </si>
  <si>
    <t>Atténuation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</si>
</sst>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 mmmm\ yyyy"/>
    <numFmt numFmtId="165" formatCode="0.0"/>
    <numFmt numFmtId="166" formatCode="[$-40C]d\ mmmm\ yyyy;@"/>
  </numFmts>
  <fonts count="6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0"/>
      <name val="Symbol"/>
      <family val="1"/>
      <charset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" fontId="0" fillId="0" borderId="0" xfId="0" applyNumberFormat="1"/>
    <xf numFmtId="0" fontId="4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0" fillId="0" borderId="0" xfId="0" applyNumberForma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0" fontId="4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2" fontId="0" fillId="0" borderId="11" xfId="0" applyNumberFormat="1" applyBorder="1"/>
    <xf numFmtId="164" fontId="3" fillId="0" borderId="11" xfId="0" applyNumberFormat="1" applyFont="1" applyBorder="1" applyAlignment="1">
      <alignment vertical="center"/>
    </xf>
    <xf numFmtId="2" fontId="0" fillId="0" borderId="12" xfId="0" applyNumberFormat="1" applyBorder="1"/>
    <xf numFmtId="2" fontId="0" fillId="0" borderId="13" xfId="0" applyNumberFormat="1" applyBorder="1"/>
    <xf numFmtId="2" fontId="0" fillId="0" borderId="14" xfId="0" applyNumberFormat="1" applyBorder="1"/>
    <xf numFmtId="0" fontId="4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6" fontId="3" fillId="0" borderId="11" xfId="0" applyNumberFormat="1" applyFont="1" applyBorder="1" applyAlignment="1">
      <alignment vertical="center"/>
    </xf>
    <xf numFmtId="2" fontId="5" fillId="0" borderId="17" xfId="0" applyNumberFormat="1" applyFont="1" applyBorder="1"/>
    <xf numFmtId="2" fontId="5" fillId="0" borderId="18" xfId="0" applyNumberFormat="1" applyFont="1" applyBorder="1"/>
    <xf numFmtId="2" fontId="5" fillId="0" borderId="19" xfId="0" applyNumberFormat="1" applyFont="1" applyBorder="1"/>
    <xf numFmtId="0" fontId="1" fillId="0" borderId="20" xfId="0" applyFont="1" applyBorder="1" applyAlignment="1">
      <alignment horizontal="center" vertical="center"/>
    </xf>
    <xf numFmtId="0" fontId="1" fillId="0" borderId="0" xfId="0" applyFont="1"/>
    <xf numFmtId="0" fontId="2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66" fontId="3" fillId="0" borderId="11" xfId="0" applyNumberFormat="1" applyFont="1" applyBorder="1" applyAlignment="1">
      <alignment horizontal="center" vertical="center"/>
    </xf>
    <xf numFmtId="166" fontId="3" fillId="0" borderId="22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183CAED9-D5D7-4702-9D46-337B1ABB41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Attenuation curve TBE491
Fibre 100/160µm</a:t>
            </a:r>
          </a:p>
        </c:rich>
      </c:tx>
      <c:layout>
        <c:manualLayout>
          <c:xMode val="edge"/>
          <c:yMode val="edge"/>
          <c:x val="0.31162324564734872"/>
          <c:y val="1.272995739013851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168336673346694E-2"/>
          <c:y val="0.1074964639321075"/>
          <c:w val="0.77855711422845686"/>
          <c:h val="0.78076379066478074"/>
        </c:manualLayout>
      </c:layout>
      <c:scatterChart>
        <c:scatterStyle val="smoothMarker"/>
        <c:varyColors val="0"/>
        <c:ser>
          <c:idx val="1"/>
          <c:order val="0"/>
          <c:tx>
            <c:v>TBE491</c:v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'TBE491'!$A$4:$A$254</c:f>
              <c:numCache>
                <c:formatCode>General</c:formatCode>
                <c:ptCount val="251"/>
                <c:pt idx="0">
                  <c:v>0.5</c:v>
                </c:pt>
                <c:pt idx="1">
                  <c:v>0.51</c:v>
                </c:pt>
                <c:pt idx="2">
                  <c:v>0.52</c:v>
                </c:pt>
                <c:pt idx="3">
                  <c:v>0.53</c:v>
                </c:pt>
                <c:pt idx="4">
                  <c:v>0.54</c:v>
                </c:pt>
                <c:pt idx="5">
                  <c:v>0.55000000000000004</c:v>
                </c:pt>
                <c:pt idx="6">
                  <c:v>0.56000000000000005</c:v>
                </c:pt>
                <c:pt idx="7">
                  <c:v>0.56999999999999995</c:v>
                </c:pt>
                <c:pt idx="8">
                  <c:v>0.57999999999999996</c:v>
                </c:pt>
                <c:pt idx="9">
                  <c:v>0.59</c:v>
                </c:pt>
                <c:pt idx="10">
                  <c:v>0.6</c:v>
                </c:pt>
                <c:pt idx="11">
                  <c:v>0.61</c:v>
                </c:pt>
                <c:pt idx="12">
                  <c:v>0.62</c:v>
                </c:pt>
                <c:pt idx="13">
                  <c:v>0.63</c:v>
                </c:pt>
                <c:pt idx="14">
                  <c:v>0.64</c:v>
                </c:pt>
                <c:pt idx="15">
                  <c:v>0.65</c:v>
                </c:pt>
                <c:pt idx="16">
                  <c:v>0.66</c:v>
                </c:pt>
                <c:pt idx="17">
                  <c:v>0.67</c:v>
                </c:pt>
                <c:pt idx="18">
                  <c:v>0.68</c:v>
                </c:pt>
                <c:pt idx="19">
                  <c:v>0.69</c:v>
                </c:pt>
                <c:pt idx="20">
                  <c:v>0.7</c:v>
                </c:pt>
                <c:pt idx="21">
                  <c:v>0.71</c:v>
                </c:pt>
                <c:pt idx="22">
                  <c:v>0.72</c:v>
                </c:pt>
                <c:pt idx="23">
                  <c:v>0.73</c:v>
                </c:pt>
                <c:pt idx="24">
                  <c:v>0.74</c:v>
                </c:pt>
                <c:pt idx="25">
                  <c:v>0.75</c:v>
                </c:pt>
                <c:pt idx="26">
                  <c:v>0.76</c:v>
                </c:pt>
                <c:pt idx="27">
                  <c:v>0.77</c:v>
                </c:pt>
                <c:pt idx="28">
                  <c:v>0.78</c:v>
                </c:pt>
                <c:pt idx="29">
                  <c:v>0.79</c:v>
                </c:pt>
                <c:pt idx="30">
                  <c:v>0.8</c:v>
                </c:pt>
                <c:pt idx="31">
                  <c:v>0.81</c:v>
                </c:pt>
                <c:pt idx="32">
                  <c:v>0.82</c:v>
                </c:pt>
                <c:pt idx="33">
                  <c:v>0.83</c:v>
                </c:pt>
                <c:pt idx="34">
                  <c:v>0.84</c:v>
                </c:pt>
                <c:pt idx="35">
                  <c:v>0.85</c:v>
                </c:pt>
                <c:pt idx="36">
                  <c:v>0.86</c:v>
                </c:pt>
                <c:pt idx="37">
                  <c:v>0.87</c:v>
                </c:pt>
                <c:pt idx="38">
                  <c:v>0.88</c:v>
                </c:pt>
                <c:pt idx="39">
                  <c:v>0.89</c:v>
                </c:pt>
                <c:pt idx="40">
                  <c:v>0.9</c:v>
                </c:pt>
                <c:pt idx="41">
                  <c:v>0.91</c:v>
                </c:pt>
                <c:pt idx="42">
                  <c:v>0.92</c:v>
                </c:pt>
                <c:pt idx="43">
                  <c:v>0.93</c:v>
                </c:pt>
                <c:pt idx="44">
                  <c:v>0.94</c:v>
                </c:pt>
                <c:pt idx="45">
                  <c:v>0.95</c:v>
                </c:pt>
                <c:pt idx="46">
                  <c:v>0.96</c:v>
                </c:pt>
                <c:pt idx="47">
                  <c:v>0.97</c:v>
                </c:pt>
                <c:pt idx="48">
                  <c:v>0.98</c:v>
                </c:pt>
                <c:pt idx="49">
                  <c:v>0.99</c:v>
                </c:pt>
                <c:pt idx="50">
                  <c:v>1</c:v>
                </c:pt>
                <c:pt idx="51">
                  <c:v>1.01</c:v>
                </c:pt>
                <c:pt idx="52">
                  <c:v>1.02</c:v>
                </c:pt>
                <c:pt idx="53">
                  <c:v>1.03</c:v>
                </c:pt>
                <c:pt idx="54">
                  <c:v>1.04</c:v>
                </c:pt>
                <c:pt idx="55">
                  <c:v>1.05</c:v>
                </c:pt>
                <c:pt idx="56">
                  <c:v>1.06</c:v>
                </c:pt>
                <c:pt idx="57">
                  <c:v>1.07</c:v>
                </c:pt>
                <c:pt idx="58">
                  <c:v>1.08</c:v>
                </c:pt>
                <c:pt idx="59">
                  <c:v>1.0900000000000001</c:v>
                </c:pt>
                <c:pt idx="60">
                  <c:v>1.1000000000000001</c:v>
                </c:pt>
                <c:pt idx="61">
                  <c:v>1.1100000000000001</c:v>
                </c:pt>
                <c:pt idx="62">
                  <c:v>1.1200000000000001</c:v>
                </c:pt>
                <c:pt idx="63">
                  <c:v>1.1299999999999999</c:v>
                </c:pt>
                <c:pt idx="64">
                  <c:v>1.1399999999999999</c:v>
                </c:pt>
                <c:pt idx="65">
                  <c:v>1.1499999999999999</c:v>
                </c:pt>
                <c:pt idx="66">
                  <c:v>1.1599999999999999</c:v>
                </c:pt>
                <c:pt idx="67">
                  <c:v>1.17</c:v>
                </c:pt>
                <c:pt idx="68">
                  <c:v>1.18</c:v>
                </c:pt>
                <c:pt idx="69">
                  <c:v>1.19</c:v>
                </c:pt>
                <c:pt idx="70">
                  <c:v>1.2</c:v>
                </c:pt>
                <c:pt idx="71">
                  <c:v>1.21</c:v>
                </c:pt>
                <c:pt idx="72">
                  <c:v>1.22</c:v>
                </c:pt>
                <c:pt idx="73">
                  <c:v>1.23</c:v>
                </c:pt>
                <c:pt idx="74">
                  <c:v>1.24</c:v>
                </c:pt>
                <c:pt idx="75">
                  <c:v>1.25</c:v>
                </c:pt>
                <c:pt idx="76">
                  <c:v>1.26</c:v>
                </c:pt>
                <c:pt idx="77">
                  <c:v>1.27</c:v>
                </c:pt>
                <c:pt idx="78">
                  <c:v>1.28</c:v>
                </c:pt>
                <c:pt idx="79">
                  <c:v>1.29</c:v>
                </c:pt>
                <c:pt idx="80">
                  <c:v>1.3</c:v>
                </c:pt>
                <c:pt idx="81">
                  <c:v>1.31</c:v>
                </c:pt>
                <c:pt idx="82">
                  <c:v>1.32</c:v>
                </c:pt>
                <c:pt idx="83">
                  <c:v>1.33</c:v>
                </c:pt>
                <c:pt idx="84">
                  <c:v>1.34</c:v>
                </c:pt>
                <c:pt idx="85">
                  <c:v>1.35</c:v>
                </c:pt>
                <c:pt idx="86">
                  <c:v>1.36</c:v>
                </c:pt>
                <c:pt idx="87">
                  <c:v>1.37</c:v>
                </c:pt>
                <c:pt idx="88">
                  <c:v>1.38</c:v>
                </c:pt>
                <c:pt idx="89">
                  <c:v>1.39</c:v>
                </c:pt>
                <c:pt idx="90">
                  <c:v>1.4</c:v>
                </c:pt>
                <c:pt idx="91">
                  <c:v>1.41</c:v>
                </c:pt>
                <c:pt idx="92">
                  <c:v>1.42</c:v>
                </c:pt>
                <c:pt idx="93">
                  <c:v>1.43</c:v>
                </c:pt>
                <c:pt idx="94">
                  <c:v>1.44</c:v>
                </c:pt>
                <c:pt idx="95">
                  <c:v>1.45</c:v>
                </c:pt>
                <c:pt idx="96">
                  <c:v>1.46</c:v>
                </c:pt>
                <c:pt idx="97">
                  <c:v>1.47</c:v>
                </c:pt>
                <c:pt idx="98">
                  <c:v>1.48</c:v>
                </c:pt>
                <c:pt idx="99">
                  <c:v>1.49</c:v>
                </c:pt>
                <c:pt idx="100">
                  <c:v>1.5</c:v>
                </c:pt>
                <c:pt idx="101">
                  <c:v>1.51</c:v>
                </c:pt>
                <c:pt idx="102">
                  <c:v>1.52</c:v>
                </c:pt>
                <c:pt idx="103">
                  <c:v>1.53</c:v>
                </c:pt>
                <c:pt idx="104">
                  <c:v>1.54</c:v>
                </c:pt>
                <c:pt idx="105">
                  <c:v>1.55</c:v>
                </c:pt>
                <c:pt idx="106">
                  <c:v>1.56</c:v>
                </c:pt>
                <c:pt idx="107">
                  <c:v>1.57</c:v>
                </c:pt>
                <c:pt idx="108">
                  <c:v>1.58</c:v>
                </c:pt>
                <c:pt idx="109">
                  <c:v>1.59</c:v>
                </c:pt>
                <c:pt idx="110">
                  <c:v>1.6</c:v>
                </c:pt>
                <c:pt idx="111">
                  <c:v>1.61</c:v>
                </c:pt>
                <c:pt idx="112">
                  <c:v>1.62</c:v>
                </c:pt>
                <c:pt idx="113">
                  <c:v>1.63</c:v>
                </c:pt>
                <c:pt idx="114">
                  <c:v>1.64</c:v>
                </c:pt>
                <c:pt idx="115">
                  <c:v>1.65</c:v>
                </c:pt>
                <c:pt idx="116">
                  <c:v>1.66</c:v>
                </c:pt>
                <c:pt idx="117">
                  <c:v>1.67</c:v>
                </c:pt>
                <c:pt idx="118">
                  <c:v>1.68</c:v>
                </c:pt>
                <c:pt idx="119">
                  <c:v>1.69</c:v>
                </c:pt>
                <c:pt idx="120">
                  <c:v>1.7</c:v>
                </c:pt>
                <c:pt idx="121">
                  <c:v>1.71</c:v>
                </c:pt>
                <c:pt idx="122">
                  <c:v>1.72</c:v>
                </c:pt>
                <c:pt idx="123">
                  <c:v>1.73</c:v>
                </c:pt>
                <c:pt idx="124">
                  <c:v>1.74</c:v>
                </c:pt>
                <c:pt idx="125">
                  <c:v>1.75</c:v>
                </c:pt>
                <c:pt idx="126">
                  <c:v>1.76</c:v>
                </c:pt>
                <c:pt idx="127">
                  <c:v>1.77</c:v>
                </c:pt>
                <c:pt idx="128">
                  <c:v>1.78</c:v>
                </c:pt>
                <c:pt idx="129">
                  <c:v>1.79</c:v>
                </c:pt>
                <c:pt idx="130">
                  <c:v>1.8</c:v>
                </c:pt>
                <c:pt idx="131">
                  <c:v>1.81</c:v>
                </c:pt>
                <c:pt idx="132">
                  <c:v>1.82</c:v>
                </c:pt>
                <c:pt idx="133">
                  <c:v>1.83</c:v>
                </c:pt>
                <c:pt idx="134">
                  <c:v>1.84</c:v>
                </c:pt>
                <c:pt idx="135">
                  <c:v>1.85</c:v>
                </c:pt>
                <c:pt idx="136">
                  <c:v>1.86</c:v>
                </c:pt>
                <c:pt idx="137">
                  <c:v>1.87</c:v>
                </c:pt>
                <c:pt idx="138">
                  <c:v>1.88</c:v>
                </c:pt>
                <c:pt idx="139">
                  <c:v>1.89</c:v>
                </c:pt>
                <c:pt idx="140">
                  <c:v>1.9</c:v>
                </c:pt>
                <c:pt idx="141">
                  <c:v>1.91</c:v>
                </c:pt>
                <c:pt idx="142">
                  <c:v>1.92</c:v>
                </c:pt>
                <c:pt idx="143">
                  <c:v>1.93</c:v>
                </c:pt>
                <c:pt idx="144">
                  <c:v>1.94</c:v>
                </c:pt>
                <c:pt idx="145">
                  <c:v>1.95</c:v>
                </c:pt>
                <c:pt idx="146">
                  <c:v>1.96</c:v>
                </c:pt>
                <c:pt idx="147">
                  <c:v>1.97</c:v>
                </c:pt>
                <c:pt idx="148">
                  <c:v>1.98</c:v>
                </c:pt>
                <c:pt idx="149">
                  <c:v>1.99</c:v>
                </c:pt>
                <c:pt idx="150">
                  <c:v>2</c:v>
                </c:pt>
                <c:pt idx="151">
                  <c:v>2.0099999999999998</c:v>
                </c:pt>
                <c:pt idx="152">
                  <c:v>2.02</c:v>
                </c:pt>
                <c:pt idx="153">
                  <c:v>2.0299999999999998</c:v>
                </c:pt>
                <c:pt idx="154">
                  <c:v>2.04</c:v>
                </c:pt>
                <c:pt idx="155">
                  <c:v>2.0499999999999998</c:v>
                </c:pt>
                <c:pt idx="156">
                  <c:v>2.06</c:v>
                </c:pt>
                <c:pt idx="157">
                  <c:v>2.0699999999999998</c:v>
                </c:pt>
                <c:pt idx="158">
                  <c:v>2.08</c:v>
                </c:pt>
                <c:pt idx="159">
                  <c:v>2.09</c:v>
                </c:pt>
                <c:pt idx="160">
                  <c:v>2.1</c:v>
                </c:pt>
                <c:pt idx="161">
                  <c:v>2.11</c:v>
                </c:pt>
                <c:pt idx="162">
                  <c:v>2.12</c:v>
                </c:pt>
                <c:pt idx="163">
                  <c:v>2.13</c:v>
                </c:pt>
                <c:pt idx="164">
                  <c:v>2.14</c:v>
                </c:pt>
                <c:pt idx="165">
                  <c:v>2.15</c:v>
                </c:pt>
                <c:pt idx="166">
                  <c:v>2.16</c:v>
                </c:pt>
                <c:pt idx="167">
                  <c:v>2.17</c:v>
                </c:pt>
                <c:pt idx="168">
                  <c:v>2.1800000000000002</c:v>
                </c:pt>
                <c:pt idx="169">
                  <c:v>2.19</c:v>
                </c:pt>
                <c:pt idx="170">
                  <c:v>2.2000000000000002</c:v>
                </c:pt>
                <c:pt idx="171">
                  <c:v>2.21</c:v>
                </c:pt>
                <c:pt idx="172">
                  <c:v>2.2200000000000002</c:v>
                </c:pt>
                <c:pt idx="173">
                  <c:v>2.23</c:v>
                </c:pt>
                <c:pt idx="174">
                  <c:v>2.2400000000000002</c:v>
                </c:pt>
                <c:pt idx="175">
                  <c:v>2.25</c:v>
                </c:pt>
                <c:pt idx="176">
                  <c:v>2.2599999999999998</c:v>
                </c:pt>
                <c:pt idx="177">
                  <c:v>2.27</c:v>
                </c:pt>
                <c:pt idx="178">
                  <c:v>2.2799999999999998</c:v>
                </c:pt>
                <c:pt idx="179">
                  <c:v>2.29</c:v>
                </c:pt>
                <c:pt idx="180">
                  <c:v>2.2999999999999998</c:v>
                </c:pt>
                <c:pt idx="181">
                  <c:v>2.31</c:v>
                </c:pt>
                <c:pt idx="182">
                  <c:v>2.3199999999999998</c:v>
                </c:pt>
                <c:pt idx="183">
                  <c:v>2.33</c:v>
                </c:pt>
                <c:pt idx="184">
                  <c:v>2.34</c:v>
                </c:pt>
                <c:pt idx="185">
                  <c:v>2.35</c:v>
                </c:pt>
                <c:pt idx="186">
                  <c:v>2.36</c:v>
                </c:pt>
                <c:pt idx="187">
                  <c:v>2.37</c:v>
                </c:pt>
                <c:pt idx="188">
                  <c:v>2.38</c:v>
                </c:pt>
                <c:pt idx="189">
                  <c:v>2.39</c:v>
                </c:pt>
                <c:pt idx="190">
                  <c:v>2.4</c:v>
                </c:pt>
                <c:pt idx="191">
                  <c:v>2.41</c:v>
                </c:pt>
                <c:pt idx="192">
                  <c:v>2.42</c:v>
                </c:pt>
                <c:pt idx="193">
                  <c:v>2.4300000000000002</c:v>
                </c:pt>
                <c:pt idx="194">
                  <c:v>2.44</c:v>
                </c:pt>
                <c:pt idx="195">
                  <c:v>2.4500000000000002</c:v>
                </c:pt>
                <c:pt idx="196">
                  <c:v>2.46</c:v>
                </c:pt>
                <c:pt idx="197">
                  <c:v>2.4700000000000002</c:v>
                </c:pt>
                <c:pt idx="198">
                  <c:v>2.48</c:v>
                </c:pt>
                <c:pt idx="199">
                  <c:v>2.4900000000000002</c:v>
                </c:pt>
                <c:pt idx="200">
                  <c:v>2.5</c:v>
                </c:pt>
                <c:pt idx="201">
                  <c:v>2.5099999999999998</c:v>
                </c:pt>
                <c:pt idx="202">
                  <c:v>2.52</c:v>
                </c:pt>
                <c:pt idx="203">
                  <c:v>2.5299999999999998</c:v>
                </c:pt>
                <c:pt idx="204">
                  <c:v>2.54</c:v>
                </c:pt>
                <c:pt idx="205">
                  <c:v>2.5499999999999998</c:v>
                </c:pt>
                <c:pt idx="206">
                  <c:v>2.56</c:v>
                </c:pt>
                <c:pt idx="207">
                  <c:v>2.57</c:v>
                </c:pt>
                <c:pt idx="208">
                  <c:v>2.58</c:v>
                </c:pt>
                <c:pt idx="209">
                  <c:v>2.59</c:v>
                </c:pt>
                <c:pt idx="210">
                  <c:v>2.6</c:v>
                </c:pt>
                <c:pt idx="211">
                  <c:v>2.61</c:v>
                </c:pt>
                <c:pt idx="212">
                  <c:v>2.62</c:v>
                </c:pt>
                <c:pt idx="213">
                  <c:v>2.63</c:v>
                </c:pt>
                <c:pt idx="214">
                  <c:v>2.64</c:v>
                </c:pt>
                <c:pt idx="215">
                  <c:v>2.65</c:v>
                </c:pt>
                <c:pt idx="216">
                  <c:v>2.66</c:v>
                </c:pt>
                <c:pt idx="217">
                  <c:v>2.67</c:v>
                </c:pt>
                <c:pt idx="218">
                  <c:v>2.68</c:v>
                </c:pt>
                <c:pt idx="219">
                  <c:v>2.69</c:v>
                </c:pt>
                <c:pt idx="220">
                  <c:v>2.7</c:v>
                </c:pt>
                <c:pt idx="221">
                  <c:v>2.71</c:v>
                </c:pt>
                <c:pt idx="222">
                  <c:v>2.72</c:v>
                </c:pt>
                <c:pt idx="223">
                  <c:v>2.73</c:v>
                </c:pt>
                <c:pt idx="224">
                  <c:v>2.74</c:v>
                </c:pt>
                <c:pt idx="225">
                  <c:v>2.75</c:v>
                </c:pt>
                <c:pt idx="226">
                  <c:v>2.76</c:v>
                </c:pt>
                <c:pt idx="227">
                  <c:v>2.77</c:v>
                </c:pt>
                <c:pt idx="228">
                  <c:v>2.78</c:v>
                </c:pt>
                <c:pt idx="229">
                  <c:v>2.79</c:v>
                </c:pt>
                <c:pt idx="230">
                  <c:v>2.8</c:v>
                </c:pt>
                <c:pt idx="231">
                  <c:v>2.81</c:v>
                </c:pt>
                <c:pt idx="232">
                  <c:v>2.82</c:v>
                </c:pt>
                <c:pt idx="233">
                  <c:v>2.83</c:v>
                </c:pt>
                <c:pt idx="234">
                  <c:v>2.84</c:v>
                </c:pt>
                <c:pt idx="235">
                  <c:v>2.85</c:v>
                </c:pt>
                <c:pt idx="236">
                  <c:v>2.86</c:v>
                </c:pt>
                <c:pt idx="237">
                  <c:v>2.87</c:v>
                </c:pt>
                <c:pt idx="238">
                  <c:v>2.88</c:v>
                </c:pt>
                <c:pt idx="239">
                  <c:v>2.89</c:v>
                </c:pt>
                <c:pt idx="240">
                  <c:v>2.9</c:v>
                </c:pt>
                <c:pt idx="241">
                  <c:v>2.91</c:v>
                </c:pt>
                <c:pt idx="242">
                  <c:v>2.92</c:v>
                </c:pt>
                <c:pt idx="243">
                  <c:v>2.93</c:v>
                </c:pt>
                <c:pt idx="244">
                  <c:v>2.94</c:v>
                </c:pt>
                <c:pt idx="245">
                  <c:v>2.95</c:v>
                </c:pt>
                <c:pt idx="246">
                  <c:v>2.96</c:v>
                </c:pt>
                <c:pt idx="247">
                  <c:v>2.97</c:v>
                </c:pt>
                <c:pt idx="248">
                  <c:v>2.98</c:v>
                </c:pt>
                <c:pt idx="249">
                  <c:v>2.99</c:v>
                </c:pt>
                <c:pt idx="250">
                  <c:v>3</c:v>
                </c:pt>
              </c:numCache>
            </c:numRef>
          </c:xVal>
          <c:yVal>
            <c:numRef>
              <c:f>'TBE491'!$D$4:$D$254</c:f>
              <c:numCache>
                <c:formatCode>General</c:formatCode>
                <c:ptCount val="251"/>
                <c:pt idx="0">
                  <c:v>40.481822709513729</c:v>
                </c:pt>
                <c:pt idx="1">
                  <c:v>35.15887473603501</c:v>
                </c:pt>
                <c:pt idx="2">
                  <c:v>30.515542988318312</c:v>
                </c:pt>
                <c:pt idx="3">
                  <c:v>26.56817342539912</c:v>
                </c:pt>
                <c:pt idx="4">
                  <c:v>22.741660329125473</c:v>
                </c:pt>
                <c:pt idx="5">
                  <c:v>20.656304926532677</c:v>
                </c:pt>
                <c:pt idx="6">
                  <c:v>18.874279614526223</c:v>
                </c:pt>
                <c:pt idx="7">
                  <c:v>18.708890935704453</c:v>
                </c:pt>
                <c:pt idx="8">
                  <c:v>19.445698863650083</c:v>
                </c:pt>
                <c:pt idx="9">
                  <c:v>20.427799087286893</c:v>
                </c:pt>
                <c:pt idx="10">
                  <c:v>22.506782438375819</c:v>
                </c:pt>
                <c:pt idx="11">
                  <c:v>25.33302596816754</c:v>
                </c:pt>
                <c:pt idx="12">
                  <c:v>28.079305448410803</c:v>
                </c:pt>
                <c:pt idx="13">
                  <c:v>30.576294163458108</c:v>
                </c:pt>
                <c:pt idx="14">
                  <c:v>33.60230389026615</c:v>
                </c:pt>
                <c:pt idx="15">
                  <c:v>35.552930469941082</c:v>
                </c:pt>
                <c:pt idx="16">
                  <c:v>35.186330068291682</c:v>
                </c:pt>
                <c:pt idx="17">
                  <c:v>36.771203648242029</c:v>
                </c:pt>
                <c:pt idx="18">
                  <c:v>38.258822497737931</c:v>
                </c:pt>
                <c:pt idx="19">
                  <c:v>38.069769365774889</c:v>
                </c:pt>
                <c:pt idx="20">
                  <c:v>37.011951502488394</c:v>
                </c:pt>
                <c:pt idx="21">
                  <c:v>35.047768795669455</c:v>
                </c:pt>
                <c:pt idx="22">
                  <c:v>32.978366313336089</c:v>
                </c:pt>
                <c:pt idx="23">
                  <c:v>30.907642044824012</c:v>
                </c:pt>
                <c:pt idx="24">
                  <c:v>29.022784176436264</c:v>
                </c:pt>
                <c:pt idx="25">
                  <c:v>27.213476688042103</c:v>
                </c:pt>
                <c:pt idx="26">
                  <c:v>25.70892745507501</c:v>
                </c:pt>
                <c:pt idx="27">
                  <c:v>24.604667145526975</c:v>
                </c:pt>
                <c:pt idx="28">
                  <c:v>23.840129680558427</c:v>
                </c:pt>
                <c:pt idx="29">
                  <c:v>23.604881986257951</c:v>
                </c:pt>
                <c:pt idx="30">
                  <c:v>23.960846023422647</c:v>
                </c:pt>
                <c:pt idx="31">
                  <c:v>24.183647935953125</c:v>
                </c:pt>
                <c:pt idx="32">
                  <c:v>24.415583947223418</c:v>
                </c:pt>
                <c:pt idx="33">
                  <c:v>24.420557118987468</c:v>
                </c:pt>
                <c:pt idx="34">
                  <c:v>24.852303145554572</c:v>
                </c:pt>
                <c:pt idx="35">
                  <c:v>25.593553924660664</c:v>
                </c:pt>
                <c:pt idx="36">
                  <c:v>26.206125658994395</c:v>
                </c:pt>
                <c:pt idx="37">
                  <c:v>26.959304056269463</c:v>
                </c:pt>
                <c:pt idx="38">
                  <c:v>27.42330807941309</c:v>
                </c:pt>
                <c:pt idx="39">
                  <c:v>28.068186595011642</c:v>
                </c:pt>
                <c:pt idx="40">
                  <c:v>28.469221925423128</c:v>
                </c:pt>
                <c:pt idx="41">
                  <c:v>28.844236293128585</c:v>
                </c:pt>
                <c:pt idx="42">
                  <c:v>29.130132214073456</c:v>
                </c:pt>
                <c:pt idx="43">
                  <c:v>29.238882403436868</c:v>
                </c:pt>
                <c:pt idx="44">
                  <c:v>29.354746859048674</c:v>
                </c:pt>
                <c:pt idx="45">
                  <c:v>29.387171022155602</c:v>
                </c:pt>
                <c:pt idx="46">
                  <c:v>29.342544115766522</c:v>
                </c:pt>
                <c:pt idx="47">
                  <c:v>29.260662836984906</c:v>
                </c:pt>
                <c:pt idx="48">
                  <c:v>29.281048121936024</c:v>
                </c:pt>
                <c:pt idx="49">
                  <c:v>28.894359876710769</c:v>
                </c:pt>
                <c:pt idx="50">
                  <c:v>28.607151185413098</c:v>
                </c:pt>
                <c:pt idx="51">
                  <c:v>28.297392360047919</c:v>
                </c:pt>
                <c:pt idx="52">
                  <c:v>27.980908860596589</c:v>
                </c:pt>
                <c:pt idx="53">
                  <c:v>27.648283558364458</c:v>
                </c:pt>
                <c:pt idx="54">
                  <c:v>27.359334419638714</c:v>
                </c:pt>
                <c:pt idx="55">
                  <c:v>27.013970739072825</c:v>
                </c:pt>
                <c:pt idx="56">
                  <c:v>26.735139894975664</c:v>
                </c:pt>
                <c:pt idx="57">
                  <c:v>26.440969704570364</c:v>
                </c:pt>
                <c:pt idx="58">
                  <c:v>26.129456460827868</c:v>
                </c:pt>
                <c:pt idx="59">
                  <c:v>25.831693997243658</c:v>
                </c:pt>
                <c:pt idx="60">
                  <c:v>25.51533818486147</c:v>
                </c:pt>
                <c:pt idx="61">
                  <c:v>25.134123456941136</c:v>
                </c:pt>
                <c:pt idx="62">
                  <c:v>24.830242203271034</c:v>
                </c:pt>
                <c:pt idx="63">
                  <c:v>24.500244487348517</c:v>
                </c:pt>
                <c:pt idx="64">
                  <c:v>24.11817460442979</c:v>
                </c:pt>
                <c:pt idx="65">
                  <c:v>23.848160910270316</c:v>
                </c:pt>
                <c:pt idx="66">
                  <c:v>23.53435794418677</c:v>
                </c:pt>
                <c:pt idx="67">
                  <c:v>23.109812231573144</c:v>
                </c:pt>
                <c:pt idx="68">
                  <c:v>22.786737835704717</c:v>
                </c:pt>
                <c:pt idx="69">
                  <c:v>22.477441388485246</c:v>
                </c:pt>
                <c:pt idx="70">
                  <c:v>22.13860005085143</c:v>
                </c:pt>
                <c:pt idx="71">
                  <c:v>21.767762962721935</c:v>
                </c:pt>
                <c:pt idx="72">
                  <c:v>21.464894267046237</c:v>
                </c:pt>
                <c:pt idx="73">
                  <c:v>21.170656315666285</c:v>
                </c:pt>
                <c:pt idx="74">
                  <c:v>20.809911408404112</c:v>
                </c:pt>
                <c:pt idx="75">
                  <c:v>20.437850154417259</c:v>
                </c:pt>
                <c:pt idx="76">
                  <c:v>20.163270657425414</c:v>
                </c:pt>
                <c:pt idx="77">
                  <c:v>19.801259159147268</c:v>
                </c:pt>
                <c:pt idx="78">
                  <c:v>19.449341536922706</c:v>
                </c:pt>
                <c:pt idx="79">
                  <c:v>19.154606593368086</c:v>
                </c:pt>
                <c:pt idx="80">
                  <c:v>18.824042823177248</c:v>
                </c:pt>
                <c:pt idx="81">
                  <c:v>18.512862927518814</c:v>
                </c:pt>
                <c:pt idx="82">
                  <c:v>18.19233539676857</c:v>
                </c:pt>
                <c:pt idx="83">
                  <c:v>17.854498394313801</c:v>
                </c:pt>
                <c:pt idx="84">
                  <c:v>17.602100623901542</c:v>
                </c:pt>
                <c:pt idx="85">
                  <c:v>17.327804511645269</c:v>
                </c:pt>
                <c:pt idx="86">
                  <c:v>16.969815024268211</c:v>
                </c:pt>
                <c:pt idx="87">
                  <c:v>16.629079247937081</c:v>
                </c:pt>
                <c:pt idx="88">
                  <c:v>16.354563195346284</c:v>
                </c:pt>
                <c:pt idx="89">
                  <c:v>16.086983250546314</c:v>
                </c:pt>
                <c:pt idx="90">
                  <c:v>15.769068371580008</c:v>
                </c:pt>
                <c:pt idx="91">
                  <c:v>15.453457960585434</c:v>
                </c:pt>
                <c:pt idx="92">
                  <c:v>15.175159886724586</c:v>
                </c:pt>
                <c:pt idx="93">
                  <c:v>14.94213979640346</c:v>
                </c:pt>
                <c:pt idx="94">
                  <c:v>14.685527084422905</c:v>
                </c:pt>
                <c:pt idx="95">
                  <c:v>14.3754024506857</c:v>
                </c:pt>
                <c:pt idx="96">
                  <c:v>14.009598455286511</c:v>
                </c:pt>
                <c:pt idx="97">
                  <c:v>13.728695536190701</c:v>
                </c:pt>
                <c:pt idx="98">
                  <c:v>13.494620990410787</c:v>
                </c:pt>
                <c:pt idx="99">
                  <c:v>13.273002276440906</c:v>
                </c:pt>
                <c:pt idx="100">
                  <c:v>13.016943962857184</c:v>
                </c:pt>
                <c:pt idx="101">
                  <c:v>12.751185272202251</c:v>
                </c:pt>
                <c:pt idx="102">
                  <c:v>12.496902596861418</c:v>
                </c:pt>
                <c:pt idx="103">
                  <c:v>12.244466847749973</c:v>
                </c:pt>
                <c:pt idx="104">
                  <c:v>12.021348184601679</c:v>
                </c:pt>
                <c:pt idx="105">
                  <c:v>11.728560062833594</c:v>
                </c:pt>
                <c:pt idx="106">
                  <c:v>11.387653111475254</c:v>
                </c:pt>
                <c:pt idx="107">
                  <c:v>11.065490127107278</c:v>
                </c:pt>
                <c:pt idx="108">
                  <c:v>10.81987453950887</c:v>
                </c:pt>
                <c:pt idx="109">
                  <c:v>10.612685187015671</c:v>
                </c:pt>
                <c:pt idx="110">
                  <c:v>10.377452966435744</c:v>
                </c:pt>
                <c:pt idx="111">
                  <c:v>10.128713874723413</c:v>
                </c:pt>
                <c:pt idx="112">
                  <c:v>9.8956093124286095</c:v>
                </c:pt>
                <c:pt idx="113">
                  <c:v>9.6686249686101391</c:v>
                </c:pt>
                <c:pt idx="114">
                  <c:v>9.4521820547300006</c:v>
                </c:pt>
                <c:pt idx="115">
                  <c:v>9.235380087681472</c:v>
                </c:pt>
                <c:pt idx="116">
                  <c:v>9.0423065521082346</c:v>
                </c:pt>
                <c:pt idx="117">
                  <c:v>8.8276724500977686</c:v>
                </c:pt>
                <c:pt idx="118">
                  <c:v>8.6469748391561581</c:v>
                </c:pt>
                <c:pt idx="119">
                  <c:v>8.4519336825451692</c:v>
                </c:pt>
                <c:pt idx="120">
                  <c:v>8.2441841929786754</c:v>
                </c:pt>
                <c:pt idx="121">
                  <c:v>8.0834084059479334</c:v>
                </c:pt>
                <c:pt idx="122">
                  <c:v>7.9217581799360817</c:v>
                </c:pt>
                <c:pt idx="123">
                  <c:v>7.8015313478071873</c:v>
                </c:pt>
                <c:pt idx="124">
                  <c:v>7.6822498091888791</c:v>
                </c:pt>
                <c:pt idx="125">
                  <c:v>7.5368747811598</c:v>
                </c:pt>
                <c:pt idx="126">
                  <c:v>7.3286995279321028</c:v>
                </c:pt>
                <c:pt idx="127">
                  <c:v>7.1614640186823042</c:v>
                </c:pt>
                <c:pt idx="128">
                  <c:v>6.9761922255964839</c:v>
                </c:pt>
                <c:pt idx="129">
                  <c:v>6.8095597833501103</c:v>
                </c:pt>
                <c:pt idx="130">
                  <c:v>6.6941352371735263</c:v>
                </c:pt>
                <c:pt idx="131">
                  <c:v>6.6110426116690455</c:v>
                </c:pt>
                <c:pt idx="132">
                  <c:v>6.4842575244692302</c:v>
                </c:pt>
                <c:pt idx="133">
                  <c:v>6.373142039015768</c:v>
                </c:pt>
                <c:pt idx="134">
                  <c:v>6.242286641170101</c:v>
                </c:pt>
                <c:pt idx="135">
                  <c:v>6.0906028574843072</c:v>
                </c:pt>
                <c:pt idx="136">
                  <c:v>5.9942830045306943</c:v>
                </c:pt>
                <c:pt idx="137">
                  <c:v>5.8974685956907988</c:v>
                </c:pt>
                <c:pt idx="138">
                  <c:v>5.7940097832008748</c:v>
                </c:pt>
                <c:pt idx="139">
                  <c:v>5.7727680842278648</c:v>
                </c:pt>
                <c:pt idx="140">
                  <c:v>5.7347231855315579</c:v>
                </c:pt>
                <c:pt idx="141">
                  <c:v>5.6443801755600678</c:v>
                </c:pt>
                <c:pt idx="142">
                  <c:v>5.5969154227996034</c:v>
                </c:pt>
                <c:pt idx="143">
                  <c:v>5.5874965404957235</c:v>
                </c:pt>
                <c:pt idx="144">
                  <c:v>5.5804664361473746</c:v>
                </c:pt>
                <c:pt idx="145">
                  <c:v>5.5537518141118252</c:v>
                </c:pt>
                <c:pt idx="146">
                  <c:v>5.4506240614337953</c:v>
                </c:pt>
                <c:pt idx="147">
                  <c:v>5.3430679215674211</c:v>
                </c:pt>
                <c:pt idx="148">
                  <c:v>5.1918463210904271</c:v>
                </c:pt>
                <c:pt idx="149">
                  <c:v>5.1142896319312463</c:v>
                </c:pt>
                <c:pt idx="150">
                  <c:v>5.0576754702451412</c:v>
                </c:pt>
                <c:pt idx="151">
                  <c:v>4.9870030624773563</c:v>
                </c:pt>
                <c:pt idx="152">
                  <c:v>4.8671897570127669</c:v>
                </c:pt>
                <c:pt idx="153">
                  <c:v>4.7952684552048721</c:v>
                </c:pt>
                <c:pt idx="154">
                  <c:v>4.7075628682103527</c:v>
                </c:pt>
                <c:pt idx="155">
                  <c:v>4.6919749974157519</c:v>
                </c:pt>
                <c:pt idx="156">
                  <c:v>4.6128725164426028</c:v>
                </c:pt>
                <c:pt idx="157">
                  <c:v>4.5282501055882545</c:v>
                </c:pt>
                <c:pt idx="158">
                  <c:v>4.4109840679465231</c:v>
                </c:pt>
                <c:pt idx="159">
                  <c:v>4.3681356257132684</c:v>
                </c:pt>
                <c:pt idx="160">
                  <c:v>4.2396627603746966</c:v>
                </c:pt>
                <c:pt idx="161">
                  <c:v>4.1780337888155872</c:v>
                </c:pt>
                <c:pt idx="162">
                  <c:v>4.1722829296968129</c:v>
                </c:pt>
                <c:pt idx="163">
                  <c:v>4.166725495199783</c:v>
                </c:pt>
                <c:pt idx="164">
                  <c:v>4.1818675653621415</c:v>
                </c:pt>
                <c:pt idx="165">
                  <c:v>4.1524259394532708</c:v>
                </c:pt>
                <c:pt idx="166">
                  <c:v>4.1218257624206274</c:v>
                </c:pt>
                <c:pt idx="167">
                  <c:v>4.1135687359931623</c:v>
                </c:pt>
                <c:pt idx="168">
                  <c:v>4.0735864052318282</c:v>
                </c:pt>
                <c:pt idx="169">
                  <c:v>4.0267213476033827</c:v>
                </c:pt>
                <c:pt idx="170">
                  <c:v>4.0313161495287311</c:v>
                </c:pt>
                <c:pt idx="171">
                  <c:v>4.0281285690743101</c:v>
                </c:pt>
                <c:pt idx="172">
                  <c:v>4.1416076367406891</c:v>
                </c:pt>
                <c:pt idx="173">
                  <c:v>4.2804637978148703</c:v>
                </c:pt>
                <c:pt idx="174">
                  <c:v>4.3502090049790594</c:v>
                </c:pt>
                <c:pt idx="175">
                  <c:v>4.3877063470732187</c:v>
                </c:pt>
                <c:pt idx="176">
                  <c:v>4.2938678854643548</c:v>
                </c:pt>
                <c:pt idx="177">
                  <c:v>4.1248562747891349</c:v>
                </c:pt>
                <c:pt idx="178">
                  <c:v>4.0072431786227192</c:v>
                </c:pt>
                <c:pt idx="179">
                  <c:v>3.8936412747496059</c:v>
                </c:pt>
                <c:pt idx="180">
                  <c:v>3.8162772552307005</c:v>
                </c:pt>
                <c:pt idx="181">
                  <c:v>3.7567101648510954</c:v>
                </c:pt>
                <c:pt idx="182">
                  <c:v>3.701238939731601</c:v>
                </c:pt>
                <c:pt idx="183">
                  <c:v>3.6347414986903686</c:v>
                </c:pt>
                <c:pt idx="184">
                  <c:v>3.6674841468581221</c:v>
                </c:pt>
                <c:pt idx="185">
                  <c:v>3.7473517978768696</c:v>
                </c:pt>
                <c:pt idx="186">
                  <c:v>3.7861317873051696</c:v>
                </c:pt>
                <c:pt idx="187">
                  <c:v>3.8327182671123219</c:v>
                </c:pt>
                <c:pt idx="188">
                  <c:v>3.8363448758359895</c:v>
                </c:pt>
                <c:pt idx="189">
                  <c:v>3.9773401613360848</c:v>
                </c:pt>
                <c:pt idx="190">
                  <c:v>4.0777524123344984</c:v>
                </c:pt>
                <c:pt idx="191">
                  <c:v>4.1894313301494908</c:v>
                </c:pt>
                <c:pt idx="192">
                  <c:v>4.2128136611625058</c:v>
                </c:pt>
                <c:pt idx="193">
                  <c:v>4.3174700651561615</c:v>
                </c:pt>
                <c:pt idx="194">
                  <c:v>4.2970414471739655</c:v>
                </c:pt>
                <c:pt idx="195">
                  <c:v>4.2620962888374283</c:v>
                </c:pt>
                <c:pt idx="196">
                  <c:v>4.2623412036989574</c:v>
                </c:pt>
                <c:pt idx="197">
                  <c:v>4.2295827728318471</c:v>
                </c:pt>
                <c:pt idx="198">
                  <c:v>4.1984610262003841</c:v>
                </c:pt>
                <c:pt idx="199">
                  <c:v>4.1452013600915985</c:v>
                </c:pt>
                <c:pt idx="200">
                  <c:v>4.1224598031093489</c:v>
                </c:pt>
                <c:pt idx="201">
                  <c:v>4.0356228230340037</c:v>
                </c:pt>
                <c:pt idx="202">
                  <c:v>4.007071526575209</c:v>
                </c:pt>
                <c:pt idx="203">
                  <c:v>3.9729447612492925</c:v>
                </c:pt>
                <c:pt idx="204">
                  <c:v>3.9034972994208568</c:v>
                </c:pt>
                <c:pt idx="205">
                  <c:v>3.7968285032398477</c:v>
                </c:pt>
                <c:pt idx="206">
                  <c:v>3.8355507261688309</c:v>
                </c:pt>
                <c:pt idx="207">
                  <c:v>3.6325701973089086</c:v>
                </c:pt>
                <c:pt idx="208">
                  <c:v>3.6474545080209655</c:v>
                </c:pt>
                <c:pt idx="209">
                  <c:v>3.5945389028347341</c:v>
                </c:pt>
                <c:pt idx="210">
                  <c:v>3.7307309813072869</c:v>
                </c:pt>
                <c:pt idx="211">
                  <c:v>3.7638452957298218</c:v>
                </c:pt>
                <c:pt idx="212">
                  <c:v>3.8537317285748438</c:v>
                </c:pt>
                <c:pt idx="213">
                  <c:v>4.015948234287456</c:v>
                </c:pt>
                <c:pt idx="214">
                  <c:v>4.160396359213177</c:v>
                </c:pt>
                <c:pt idx="215">
                  <c:v>4.4273695926887422</c:v>
                </c:pt>
                <c:pt idx="216">
                  <c:v>4.7238329240257357</c:v>
                </c:pt>
                <c:pt idx="217">
                  <c:v>5.3176453416728675</c:v>
                </c:pt>
                <c:pt idx="218">
                  <c:v>7.8503515559216304</c:v>
                </c:pt>
                <c:pt idx="219">
                  <c:v>12.561809393291037</c:v>
                </c:pt>
                <c:pt idx="220">
                  <c:v>11.03677109365197</c:v>
                </c:pt>
                <c:pt idx="221">
                  <c:v>6.1250198484046159</c:v>
                </c:pt>
                <c:pt idx="222">
                  <c:v>6.2077984999919629</c:v>
                </c:pt>
                <c:pt idx="223">
                  <c:v>7.0082419302529821</c:v>
                </c:pt>
                <c:pt idx="224">
                  <c:v>8.6277059003438374</c:v>
                </c:pt>
                <c:pt idx="225">
                  <c:v>11.341337044020651</c:v>
                </c:pt>
                <c:pt idx="226">
                  <c:v>15.230986222222519</c:v>
                </c:pt>
                <c:pt idx="227">
                  <c:v>21.435990942960675</c:v>
                </c:pt>
                <c:pt idx="228">
                  <c:v>28.065305920953286</c:v>
                </c:pt>
                <c:pt idx="229">
                  <c:v>31.909025828947929</c:v>
                </c:pt>
                <c:pt idx="230">
                  <c:v>36.507106895862407</c:v>
                </c:pt>
                <c:pt idx="231">
                  <c:v>40.528393150660278</c:v>
                </c:pt>
                <c:pt idx="232">
                  <c:v>43.714644568211249</c:v>
                </c:pt>
                <c:pt idx="233">
                  <c:v>46.384957000367116</c:v>
                </c:pt>
                <c:pt idx="234">
                  <c:v>48.504489478716664</c:v>
                </c:pt>
                <c:pt idx="235">
                  <c:v>49.943436787003378</c:v>
                </c:pt>
                <c:pt idx="236">
                  <c:v>50.964541442593195</c:v>
                </c:pt>
                <c:pt idx="237">
                  <c:v>51.722776833270707</c:v>
                </c:pt>
                <c:pt idx="238">
                  <c:v>52.123384520435003</c:v>
                </c:pt>
                <c:pt idx="239">
                  <c:v>52.303724498942245</c:v>
                </c:pt>
                <c:pt idx="240">
                  <c:v>52.377136009112185</c:v>
                </c:pt>
                <c:pt idx="241">
                  <c:v>52.066261574385067</c:v>
                </c:pt>
                <c:pt idx="242">
                  <c:v>51.86947594952936</c:v>
                </c:pt>
                <c:pt idx="243">
                  <c:v>51.354145539106383</c:v>
                </c:pt>
                <c:pt idx="244">
                  <c:v>50.596272287156538</c:v>
                </c:pt>
                <c:pt idx="245">
                  <c:v>49.807868334553248</c:v>
                </c:pt>
                <c:pt idx="246">
                  <c:v>48.88182221615903</c:v>
                </c:pt>
                <c:pt idx="247">
                  <c:v>48.000077086693295</c:v>
                </c:pt>
                <c:pt idx="248">
                  <c:v>46.831232529887728</c:v>
                </c:pt>
                <c:pt idx="249">
                  <c:v>45.668788644197392</c:v>
                </c:pt>
                <c:pt idx="250">
                  <c:v>44.397119958087032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A0-4F3D-938E-9D53A4B65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593071"/>
        <c:axId val="1"/>
      </c:scatterChart>
      <c:valAx>
        <c:axId val="309593071"/>
        <c:scaling>
          <c:orientation val="minMax"/>
          <c:max val="3"/>
          <c:min val="0.5"/>
        </c:scaling>
        <c:delete val="0"/>
        <c:axPos val="b"/>
        <c:title>
          <c:tx>
            <c:rich>
              <a:bodyPr/>
              <a:lstStyle/>
              <a:p>
                <a:pPr>
                  <a:defRPr sz="14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Wavelength (µm)</a:t>
                </a:r>
              </a:p>
            </c:rich>
          </c:tx>
          <c:layout>
            <c:manualLayout>
              <c:xMode val="edge"/>
              <c:yMode val="edge"/>
              <c:x val="0.39579155800862509"/>
              <c:y val="0.953257847888467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logBase val="10"/>
          <c:orientation val="minMax"/>
          <c:max val="100"/>
          <c:min val="1"/>
        </c:scaling>
        <c:delete val="0"/>
        <c:axPos val="l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4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Attenuation (dB/Km)</a:t>
                </a:r>
              </a:p>
            </c:rich>
          </c:tx>
          <c:layout>
            <c:manualLayout>
              <c:xMode val="edge"/>
              <c:yMode val="edge"/>
              <c:x val="0"/>
              <c:y val="0.365438983096396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09593071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6066452304394425"/>
          <c:y val="0.31392045454545453"/>
          <c:w val="9.5391211146838156E-2"/>
          <c:h val="4.6875E-2"/>
        </c:manualLayout>
      </c:layout>
      <c:overlay val="0"/>
      <c:txPr>
        <a:bodyPr/>
        <a:lstStyle/>
        <a:p>
          <a:pPr>
            <a:defRPr sz="44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74C7D7F-390B-4E0E-8393-DFD650E24AE4}">
  <sheetPr/>
  <sheetViews>
    <sheetView tabSelected="1" workbookViewId="0"/>
  </sheetViews>
  <pageMargins left="0.59055118110236227" right="0.59055118110236227" top="0.39370078740157483" bottom="0.39370078740157483" header="0.51181102362204722" footer="0.51181102362204722"/>
  <pageSetup paperSize="9"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886825" cy="670560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A1E9FB5C-6D41-8692-C2F8-28F58BD12F0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567690</xdr:colOff>
      <xdr:row>1</xdr:row>
      <xdr:rowOff>76200</xdr:rowOff>
    </xdr:from>
    <xdr:to>
      <xdr:col>4</xdr:col>
      <xdr:colOff>381</xdr:colOff>
      <xdr:row>2</xdr:row>
      <xdr:rowOff>0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6F3C4490-E1A1-D0EE-FEAE-6FB674701785}"/>
            </a:ext>
          </a:extLst>
        </xdr:cNvPr>
        <xdr:cNvSpPr txBox="1">
          <a:spLocks noChangeArrowheads="1"/>
        </xdr:cNvSpPr>
      </xdr:nvSpPr>
      <xdr:spPr bwMode="auto">
        <a:xfrm>
          <a:off x="2914650" y="457200"/>
          <a:ext cx="209550" cy="2286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m.</a:t>
          </a:r>
        </a:p>
      </xdr:txBody>
    </xdr:sp>
    <xdr:clientData/>
  </xdr:twoCellAnchor>
  <xdr:twoCellAnchor>
    <xdr:from>
      <xdr:col>8</xdr:col>
      <xdr:colOff>575310</xdr:colOff>
      <xdr:row>1</xdr:row>
      <xdr:rowOff>76200</xdr:rowOff>
    </xdr:from>
    <xdr:to>
      <xdr:col>9</xdr:col>
      <xdr:colOff>121654</xdr:colOff>
      <xdr:row>2</xdr:row>
      <xdr:rowOff>0</xdr:rowOff>
    </xdr:to>
    <xdr:sp macro="" textlink="">
      <xdr:nvSpPr>
        <xdr:cNvPr id="3074" name="Text Box 2">
          <a:extLst>
            <a:ext uri="{FF2B5EF4-FFF2-40B4-BE49-F238E27FC236}">
              <a16:creationId xmlns:a16="http://schemas.microsoft.com/office/drawing/2014/main" id="{D2DCD852-AFE8-B0BB-5B00-F06A95A1AEE5}"/>
            </a:ext>
          </a:extLst>
        </xdr:cNvPr>
        <xdr:cNvSpPr txBox="1">
          <a:spLocks noChangeArrowheads="1"/>
        </xdr:cNvSpPr>
      </xdr:nvSpPr>
      <xdr:spPr bwMode="auto">
        <a:xfrm>
          <a:off x="6629400" y="457200"/>
          <a:ext cx="314325" cy="2286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AD788-6A15-4004-BF7D-399744568DCF}">
  <sheetPr>
    <pageSetUpPr fitToPage="1"/>
  </sheetPr>
  <dimension ref="A1:X965"/>
  <sheetViews>
    <sheetView zoomScaleNormal="100" workbookViewId="0">
      <selection sqref="A1:D1"/>
    </sheetView>
  </sheetViews>
  <sheetFormatPr defaultRowHeight="12.75"/>
  <cols>
    <col min="1" max="3" width="11.7109375" customWidth="1"/>
    <col min="4" max="4" width="11.7109375" style="7" customWidth="1"/>
    <col min="5" max="5" width="11.42578125" customWidth="1"/>
    <col min="6" max="6" width="10.5703125" bestFit="1" customWidth="1"/>
    <col min="7" max="7" width="11.42578125" customWidth="1"/>
    <col min="8" max="8" width="10.5703125" bestFit="1" customWidth="1"/>
    <col min="9" max="9" width="11.42578125" customWidth="1"/>
    <col min="10" max="10" width="10.42578125" bestFit="1" customWidth="1"/>
    <col min="11" max="256" width="11.42578125" customWidth="1"/>
  </cols>
  <sheetData>
    <row r="1" spans="1:24" ht="30" customHeight="1" thickBot="1">
      <c r="A1" s="35" t="s">
        <v>0</v>
      </c>
      <c r="B1" s="36"/>
      <c r="C1" s="36"/>
      <c r="D1" s="36"/>
      <c r="E1" s="37" t="s">
        <v>0</v>
      </c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9"/>
      <c r="S1" s="10"/>
      <c r="T1" s="10"/>
      <c r="U1" s="10"/>
    </row>
    <row r="2" spans="1:24" ht="24" customHeight="1" thickBot="1">
      <c r="A2" s="1" t="s">
        <v>1</v>
      </c>
      <c r="B2" s="2" t="s">
        <v>2</v>
      </c>
      <c r="C2" s="2" t="s">
        <v>3</v>
      </c>
      <c r="D2" s="12">
        <v>130</v>
      </c>
      <c r="E2" s="20" t="s">
        <v>4</v>
      </c>
      <c r="F2" s="21" t="s">
        <v>5</v>
      </c>
      <c r="G2" s="21"/>
      <c r="H2" s="21" t="s">
        <v>3</v>
      </c>
      <c r="I2" s="21">
        <v>130</v>
      </c>
      <c r="J2" s="22"/>
      <c r="K2" s="23"/>
      <c r="L2" s="23"/>
      <c r="M2" s="21"/>
      <c r="N2" s="29"/>
      <c r="O2" s="29"/>
      <c r="P2" s="40">
        <v>45602</v>
      </c>
      <c r="Q2" s="40"/>
      <c r="R2" s="41"/>
      <c r="S2" s="3"/>
      <c r="T2" s="11"/>
      <c r="U2" s="14"/>
    </row>
    <row r="3" spans="1:24" ht="23.25" customHeight="1" thickBot="1">
      <c r="A3" s="4" t="s">
        <v>6</v>
      </c>
      <c r="B3" s="5" t="s">
        <v>7</v>
      </c>
      <c r="C3" s="6" t="s">
        <v>8</v>
      </c>
      <c r="D3" s="13" t="s">
        <v>9</v>
      </c>
      <c r="E3" s="18" t="s">
        <v>6</v>
      </c>
      <c r="F3" s="19" t="s">
        <v>9</v>
      </c>
      <c r="G3" s="18" t="s">
        <v>6</v>
      </c>
      <c r="H3" s="19" t="s">
        <v>9</v>
      </c>
      <c r="I3" s="18" t="s">
        <v>6</v>
      </c>
      <c r="J3" s="19" t="s">
        <v>9</v>
      </c>
      <c r="K3" s="18" t="s">
        <v>6</v>
      </c>
      <c r="L3" s="19" t="s">
        <v>9</v>
      </c>
      <c r="M3" s="18" t="s">
        <v>6</v>
      </c>
      <c r="N3" s="19" t="s">
        <v>9</v>
      </c>
      <c r="O3" s="18" t="s">
        <v>6</v>
      </c>
      <c r="P3" s="33" t="s">
        <v>9</v>
      </c>
      <c r="Q3" s="27" t="s">
        <v>6</v>
      </c>
      <c r="R3" s="28" t="s">
        <v>9</v>
      </c>
      <c r="S3" s="8"/>
      <c r="T3" s="8"/>
      <c r="U3" s="9"/>
    </row>
    <row r="4" spans="1:24">
      <c r="A4">
        <v>0.5</v>
      </c>
      <c r="B4">
        <v>0.34937299999999999</v>
      </c>
      <c r="C4">
        <v>1.173689</v>
      </c>
      <c r="D4">
        <f>-10*LOG10(B4/C4)*(1000/$D$2)</f>
        <v>40.481822709513729</v>
      </c>
      <c r="E4" s="30">
        <f>A4</f>
        <v>0.5</v>
      </c>
      <c r="F4" s="15">
        <f>D4</f>
        <v>40.481822709513729</v>
      </c>
      <c r="G4" s="30">
        <f>A55</f>
        <v>1.01</v>
      </c>
      <c r="H4" s="15">
        <f>D55</f>
        <v>28.297392360047919</v>
      </c>
      <c r="I4" s="30">
        <f>A106</f>
        <v>1.52</v>
      </c>
      <c r="J4" s="15">
        <f>D106</f>
        <v>12.496902596861418</v>
      </c>
      <c r="K4" s="30">
        <f>A157</f>
        <v>2.0299999999999998</v>
      </c>
      <c r="L4" s="15">
        <f>D157</f>
        <v>4.7952684552048721</v>
      </c>
      <c r="M4" s="30">
        <f>A208</f>
        <v>2.54</v>
      </c>
      <c r="N4" s="15">
        <f>D208</f>
        <v>3.9034972994208568</v>
      </c>
      <c r="O4" s="30">
        <f>A259</f>
        <v>0</v>
      </c>
      <c r="P4" s="24">
        <f>D259</f>
        <v>0</v>
      </c>
      <c r="Q4" s="30">
        <f>A310</f>
        <v>0</v>
      </c>
      <c r="R4" s="15">
        <f>D310</f>
        <v>0</v>
      </c>
      <c r="S4" s="8"/>
      <c r="T4" s="8"/>
      <c r="W4" s="7"/>
      <c r="X4" s="7"/>
    </row>
    <row r="5" spans="1:24">
      <c r="A5">
        <v>0.51</v>
      </c>
      <c r="B5">
        <v>0.361014</v>
      </c>
      <c r="C5">
        <v>1.0341640000000001</v>
      </c>
      <c r="D5">
        <f t="shared" ref="D5:D68" si="0">-10*LOG10(B5/C5)*(1000/$D$2)</f>
        <v>35.15887473603501</v>
      </c>
      <c r="E5" s="31">
        <f t="shared" ref="E5:E54" si="1">A5</f>
        <v>0.51</v>
      </c>
      <c r="F5" s="16">
        <f t="shared" ref="F5:F54" si="2">D5</f>
        <v>35.15887473603501</v>
      </c>
      <c r="G5" s="31">
        <f t="shared" ref="G5:G54" si="3">A56</f>
        <v>1.02</v>
      </c>
      <c r="H5" s="16">
        <f t="shared" ref="H5:H54" si="4">D56</f>
        <v>27.980908860596589</v>
      </c>
      <c r="I5" s="31">
        <f t="shared" ref="I5:I54" si="5">A107</f>
        <v>1.53</v>
      </c>
      <c r="J5" s="16">
        <f t="shared" ref="J5:J54" si="6">D107</f>
        <v>12.244466847749973</v>
      </c>
      <c r="K5" s="31">
        <f t="shared" ref="K5:K54" si="7">A158</f>
        <v>2.04</v>
      </c>
      <c r="L5" s="16">
        <f t="shared" ref="L5:L54" si="8">D158</f>
        <v>4.7075628682103527</v>
      </c>
      <c r="M5" s="31">
        <f t="shared" ref="M5:M54" si="9">A209</f>
        <v>2.5499999999999998</v>
      </c>
      <c r="N5" s="16">
        <f t="shared" ref="N5:N54" si="10">D209</f>
        <v>3.7968285032398477</v>
      </c>
      <c r="O5" s="31">
        <f t="shared" ref="O5:O54" si="11">A260</f>
        <v>0</v>
      </c>
      <c r="P5" s="25">
        <f t="shared" ref="P5:P53" si="12">D260</f>
        <v>0</v>
      </c>
      <c r="Q5" s="31">
        <f>A311</f>
        <v>0</v>
      </c>
      <c r="R5" s="16">
        <f t="shared" ref="R5:R54" si="13">D311</f>
        <v>0</v>
      </c>
      <c r="S5" s="8"/>
      <c r="T5" s="8"/>
      <c r="W5" s="7"/>
      <c r="X5" s="7"/>
    </row>
    <row r="6" spans="1:24">
      <c r="A6">
        <v>0.52</v>
      </c>
      <c r="B6">
        <v>0.35778199999999999</v>
      </c>
      <c r="C6">
        <v>0.89190899999999995</v>
      </c>
      <c r="D6">
        <f t="shared" si="0"/>
        <v>30.515542988318312</v>
      </c>
      <c r="E6" s="31">
        <f t="shared" si="1"/>
        <v>0.52</v>
      </c>
      <c r="F6" s="16">
        <f t="shared" si="2"/>
        <v>30.515542988318312</v>
      </c>
      <c r="G6" s="31">
        <f t="shared" si="3"/>
        <v>1.03</v>
      </c>
      <c r="H6" s="16">
        <f t="shared" si="4"/>
        <v>27.648283558364458</v>
      </c>
      <c r="I6" s="31">
        <f t="shared" si="5"/>
        <v>1.54</v>
      </c>
      <c r="J6" s="16">
        <f t="shared" si="6"/>
        <v>12.021348184601679</v>
      </c>
      <c r="K6" s="31">
        <f t="shared" si="7"/>
        <v>2.0499999999999998</v>
      </c>
      <c r="L6" s="16">
        <f t="shared" si="8"/>
        <v>4.6919749974157519</v>
      </c>
      <c r="M6" s="31">
        <f t="shared" si="9"/>
        <v>2.56</v>
      </c>
      <c r="N6" s="16">
        <f t="shared" si="10"/>
        <v>3.8355507261688309</v>
      </c>
      <c r="O6" s="31">
        <f t="shared" si="11"/>
        <v>0</v>
      </c>
      <c r="P6" s="25">
        <f t="shared" si="12"/>
        <v>0</v>
      </c>
      <c r="Q6" s="31">
        <f t="shared" ref="Q6:Q54" si="14">A312</f>
        <v>0</v>
      </c>
      <c r="R6" s="16">
        <f t="shared" si="13"/>
        <v>0</v>
      </c>
      <c r="S6" s="8"/>
      <c r="T6" s="8"/>
      <c r="W6" s="7"/>
      <c r="X6" s="7"/>
    </row>
    <row r="7" spans="1:24">
      <c r="A7">
        <v>0.53</v>
      </c>
      <c r="B7">
        <v>0.329623</v>
      </c>
      <c r="C7">
        <v>0.73013600000000001</v>
      </c>
      <c r="D7">
        <f t="shared" si="0"/>
        <v>26.56817342539912</v>
      </c>
      <c r="E7" s="31">
        <f t="shared" si="1"/>
        <v>0.53</v>
      </c>
      <c r="F7" s="16">
        <f t="shared" si="2"/>
        <v>26.56817342539912</v>
      </c>
      <c r="G7" s="31">
        <f t="shared" si="3"/>
        <v>1.04</v>
      </c>
      <c r="H7" s="16">
        <f t="shared" si="4"/>
        <v>27.359334419638714</v>
      </c>
      <c r="I7" s="31">
        <f t="shared" si="5"/>
        <v>1.55</v>
      </c>
      <c r="J7" s="16">
        <f t="shared" si="6"/>
        <v>11.728560062833594</v>
      </c>
      <c r="K7" s="31">
        <f t="shared" si="7"/>
        <v>2.06</v>
      </c>
      <c r="L7" s="16">
        <f t="shared" si="8"/>
        <v>4.6128725164426028</v>
      </c>
      <c r="M7" s="31">
        <f t="shared" si="9"/>
        <v>2.57</v>
      </c>
      <c r="N7" s="16">
        <f t="shared" si="10"/>
        <v>3.6325701973089086</v>
      </c>
      <c r="O7" s="31">
        <f t="shared" si="11"/>
        <v>0</v>
      </c>
      <c r="P7" s="25">
        <f t="shared" si="12"/>
        <v>0</v>
      </c>
      <c r="Q7" s="31">
        <f t="shared" si="14"/>
        <v>0</v>
      </c>
      <c r="R7" s="16">
        <f t="shared" si="13"/>
        <v>0</v>
      </c>
      <c r="S7" s="8"/>
      <c r="T7" s="8"/>
      <c r="W7" s="7"/>
      <c r="X7" s="7"/>
    </row>
    <row r="8" spans="1:24">
      <c r="A8">
        <v>0.54</v>
      </c>
      <c r="B8">
        <v>0.284941</v>
      </c>
      <c r="C8">
        <v>0.56285499999999999</v>
      </c>
      <c r="D8">
        <f t="shared" si="0"/>
        <v>22.741660329125473</v>
      </c>
      <c r="E8" s="31">
        <f t="shared" si="1"/>
        <v>0.54</v>
      </c>
      <c r="F8" s="16">
        <f t="shared" si="2"/>
        <v>22.741660329125473</v>
      </c>
      <c r="G8" s="31">
        <f t="shared" si="3"/>
        <v>1.05</v>
      </c>
      <c r="H8" s="16">
        <f t="shared" si="4"/>
        <v>27.013970739072825</v>
      </c>
      <c r="I8" s="31">
        <f t="shared" si="5"/>
        <v>1.56</v>
      </c>
      <c r="J8" s="16">
        <f t="shared" si="6"/>
        <v>11.387653111475254</v>
      </c>
      <c r="K8" s="31">
        <f t="shared" si="7"/>
        <v>2.0699999999999998</v>
      </c>
      <c r="L8" s="16">
        <f t="shared" si="8"/>
        <v>4.5282501055882545</v>
      </c>
      <c r="M8" s="31">
        <f t="shared" si="9"/>
        <v>2.58</v>
      </c>
      <c r="N8" s="16">
        <f t="shared" si="10"/>
        <v>3.6474545080209655</v>
      </c>
      <c r="O8" s="31">
        <f t="shared" si="11"/>
        <v>0</v>
      </c>
      <c r="P8" s="25">
        <f t="shared" si="12"/>
        <v>0</v>
      </c>
      <c r="Q8" s="31">
        <f t="shared" si="14"/>
        <v>0</v>
      </c>
      <c r="R8" s="16">
        <f t="shared" si="13"/>
        <v>0</v>
      </c>
      <c r="S8" s="8"/>
      <c r="T8" s="8"/>
      <c r="W8" s="7"/>
      <c r="X8" s="7"/>
    </row>
    <row r="9" spans="1:24">
      <c r="A9">
        <v>0.55000000000000004</v>
      </c>
      <c r="B9">
        <v>0.235595</v>
      </c>
      <c r="C9">
        <v>0.437218</v>
      </c>
      <c r="D9">
        <f t="shared" si="0"/>
        <v>20.656304926532677</v>
      </c>
      <c r="E9" s="31">
        <f t="shared" si="1"/>
        <v>0.55000000000000004</v>
      </c>
      <c r="F9" s="16">
        <f t="shared" si="2"/>
        <v>20.656304926532677</v>
      </c>
      <c r="G9" s="31">
        <f t="shared" si="3"/>
        <v>1.06</v>
      </c>
      <c r="H9" s="16">
        <f t="shared" si="4"/>
        <v>26.735139894975664</v>
      </c>
      <c r="I9" s="31">
        <f t="shared" si="5"/>
        <v>1.57</v>
      </c>
      <c r="J9" s="16">
        <f t="shared" si="6"/>
        <v>11.065490127107278</v>
      </c>
      <c r="K9" s="31">
        <f t="shared" si="7"/>
        <v>2.08</v>
      </c>
      <c r="L9" s="16">
        <f t="shared" si="8"/>
        <v>4.4109840679465231</v>
      </c>
      <c r="M9" s="31">
        <f t="shared" si="9"/>
        <v>2.59</v>
      </c>
      <c r="N9" s="16">
        <f t="shared" si="10"/>
        <v>3.5945389028347341</v>
      </c>
      <c r="O9" s="31">
        <f t="shared" si="11"/>
        <v>0</v>
      </c>
      <c r="P9" s="25">
        <f t="shared" si="12"/>
        <v>0</v>
      </c>
      <c r="Q9" s="31">
        <f t="shared" si="14"/>
        <v>0</v>
      </c>
      <c r="R9" s="16">
        <f t="shared" si="13"/>
        <v>0</v>
      </c>
      <c r="S9" s="8"/>
      <c r="T9" s="8"/>
      <c r="W9" s="7"/>
      <c r="X9" s="7"/>
    </row>
    <row r="10" spans="1:24">
      <c r="A10">
        <v>0.56000000000000005</v>
      </c>
      <c r="B10">
        <v>0.24204500000000001</v>
      </c>
      <c r="C10">
        <v>0.42585499999999998</v>
      </c>
      <c r="D10">
        <f t="shared" si="0"/>
        <v>18.874279614526223</v>
      </c>
      <c r="E10" s="31">
        <f t="shared" si="1"/>
        <v>0.56000000000000005</v>
      </c>
      <c r="F10" s="16">
        <f t="shared" si="2"/>
        <v>18.874279614526223</v>
      </c>
      <c r="G10" s="31">
        <f t="shared" si="3"/>
        <v>1.07</v>
      </c>
      <c r="H10" s="16">
        <f t="shared" si="4"/>
        <v>26.440969704570364</v>
      </c>
      <c r="I10" s="31">
        <f t="shared" si="5"/>
        <v>1.58</v>
      </c>
      <c r="J10" s="16">
        <f t="shared" si="6"/>
        <v>10.81987453950887</v>
      </c>
      <c r="K10" s="31">
        <f t="shared" si="7"/>
        <v>2.09</v>
      </c>
      <c r="L10" s="16">
        <f t="shared" si="8"/>
        <v>4.3681356257132684</v>
      </c>
      <c r="M10" s="31">
        <f t="shared" si="9"/>
        <v>2.6</v>
      </c>
      <c r="N10" s="16">
        <f t="shared" si="10"/>
        <v>3.7307309813072869</v>
      </c>
      <c r="O10" s="31">
        <f t="shared" si="11"/>
        <v>0</v>
      </c>
      <c r="P10" s="25">
        <f t="shared" si="12"/>
        <v>0</v>
      </c>
      <c r="Q10" s="31">
        <f t="shared" si="14"/>
        <v>0</v>
      </c>
      <c r="R10" s="16">
        <f t="shared" si="13"/>
        <v>0</v>
      </c>
      <c r="S10" s="8"/>
      <c r="T10" s="8"/>
      <c r="W10" s="7"/>
      <c r="X10" s="7"/>
    </row>
    <row r="11" spans="1:24">
      <c r="A11">
        <v>0.56999999999999995</v>
      </c>
      <c r="B11">
        <v>0.58314100000000002</v>
      </c>
      <c r="C11">
        <v>1.0209140000000001</v>
      </c>
      <c r="D11">
        <f t="shared" si="0"/>
        <v>18.708890935704453</v>
      </c>
      <c r="E11" s="31">
        <f t="shared" si="1"/>
        <v>0.56999999999999995</v>
      </c>
      <c r="F11" s="16">
        <f t="shared" si="2"/>
        <v>18.708890935704453</v>
      </c>
      <c r="G11" s="31">
        <f t="shared" si="3"/>
        <v>1.08</v>
      </c>
      <c r="H11" s="16">
        <f t="shared" si="4"/>
        <v>26.129456460827868</v>
      </c>
      <c r="I11" s="31">
        <f t="shared" si="5"/>
        <v>1.59</v>
      </c>
      <c r="J11" s="16">
        <f t="shared" si="6"/>
        <v>10.612685187015671</v>
      </c>
      <c r="K11" s="31">
        <f t="shared" si="7"/>
        <v>2.1</v>
      </c>
      <c r="L11" s="16">
        <f t="shared" si="8"/>
        <v>4.2396627603746966</v>
      </c>
      <c r="M11" s="31">
        <f t="shared" si="9"/>
        <v>2.61</v>
      </c>
      <c r="N11" s="16">
        <f t="shared" si="10"/>
        <v>3.7638452957298218</v>
      </c>
      <c r="O11" s="31">
        <f t="shared" si="11"/>
        <v>0</v>
      </c>
      <c r="P11" s="25">
        <f t="shared" si="12"/>
        <v>0</v>
      </c>
      <c r="Q11" s="31">
        <f t="shared" si="14"/>
        <v>0</v>
      </c>
      <c r="R11" s="16">
        <f t="shared" si="13"/>
        <v>0</v>
      </c>
      <c r="S11" s="8"/>
      <c r="T11" s="8"/>
      <c r="W11" s="7"/>
      <c r="X11" s="7"/>
    </row>
    <row r="12" spans="1:24">
      <c r="A12">
        <v>0.57999999999999996</v>
      </c>
      <c r="B12">
        <v>1.423791</v>
      </c>
      <c r="C12">
        <v>2.5482399999999998</v>
      </c>
      <c r="D12">
        <f t="shared" si="0"/>
        <v>19.445698863650083</v>
      </c>
      <c r="E12" s="31">
        <f t="shared" si="1"/>
        <v>0.57999999999999996</v>
      </c>
      <c r="F12" s="16">
        <f t="shared" si="2"/>
        <v>19.445698863650083</v>
      </c>
      <c r="G12" s="31">
        <f t="shared" si="3"/>
        <v>1.0900000000000001</v>
      </c>
      <c r="H12" s="16">
        <f t="shared" si="4"/>
        <v>25.831693997243658</v>
      </c>
      <c r="I12" s="31">
        <f t="shared" si="5"/>
        <v>1.6</v>
      </c>
      <c r="J12" s="16">
        <f t="shared" si="6"/>
        <v>10.377452966435744</v>
      </c>
      <c r="K12" s="31">
        <f t="shared" si="7"/>
        <v>2.11</v>
      </c>
      <c r="L12" s="16">
        <f t="shared" si="8"/>
        <v>4.1780337888155872</v>
      </c>
      <c r="M12" s="31">
        <f t="shared" si="9"/>
        <v>2.62</v>
      </c>
      <c r="N12" s="16">
        <f t="shared" si="10"/>
        <v>3.8537317285748438</v>
      </c>
      <c r="O12" s="31">
        <f t="shared" si="11"/>
        <v>0</v>
      </c>
      <c r="P12" s="25">
        <f t="shared" si="12"/>
        <v>0</v>
      </c>
      <c r="Q12" s="31">
        <f t="shared" si="14"/>
        <v>0</v>
      </c>
      <c r="R12" s="16">
        <f t="shared" si="13"/>
        <v>0</v>
      </c>
      <c r="S12" s="8"/>
      <c r="T12" s="8"/>
      <c r="W12" s="7"/>
      <c r="X12" s="7"/>
    </row>
    <row r="13" spans="1:24">
      <c r="A13">
        <v>0.59</v>
      </c>
      <c r="B13">
        <v>2.1801819999999998</v>
      </c>
      <c r="C13">
        <v>4.0184090000000001</v>
      </c>
      <c r="D13">
        <f t="shared" si="0"/>
        <v>20.427799087286893</v>
      </c>
      <c r="E13" s="31">
        <f t="shared" si="1"/>
        <v>0.59</v>
      </c>
      <c r="F13" s="16">
        <f t="shared" si="2"/>
        <v>20.427799087286893</v>
      </c>
      <c r="G13" s="31">
        <f t="shared" si="3"/>
        <v>1.1000000000000001</v>
      </c>
      <c r="H13" s="16">
        <f t="shared" si="4"/>
        <v>25.51533818486147</v>
      </c>
      <c r="I13" s="31">
        <f t="shared" si="5"/>
        <v>1.61</v>
      </c>
      <c r="J13" s="16">
        <f t="shared" si="6"/>
        <v>10.128713874723413</v>
      </c>
      <c r="K13" s="31">
        <f t="shared" si="7"/>
        <v>2.12</v>
      </c>
      <c r="L13" s="16">
        <f t="shared" si="8"/>
        <v>4.1722829296968129</v>
      </c>
      <c r="M13" s="31">
        <f t="shared" si="9"/>
        <v>2.63</v>
      </c>
      <c r="N13" s="16">
        <f t="shared" si="10"/>
        <v>4.015948234287456</v>
      </c>
      <c r="O13" s="31">
        <f t="shared" si="11"/>
        <v>0</v>
      </c>
      <c r="P13" s="25">
        <f t="shared" si="12"/>
        <v>0</v>
      </c>
      <c r="Q13" s="31">
        <f t="shared" si="14"/>
        <v>0</v>
      </c>
      <c r="R13" s="16">
        <f t="shared" si="13"/>
        <v>0</v>
      </c>
      <c r="S13" s="8"/>
      <c r="T13" s="8"/>
      <c r="W13" s="7"/>
      <c r="X13" s="7"/>
    </row>
    <row r="14" spans="1:24">
      <c r="A14">
        <v>0.6</v>
      </c>
      <c r="B14">
        <v>2.5331269999999999</v>
      </c>
      <c r="C14">
        <v>4.9687270000000003</v>
      </c>
      <c r="D14">
        <f t="shared" si="0"/>
        <v>22.506782438375819</v>
      </c>
      <c r="E14" s="31">
        <f t="shared" si="1"/>
        <v>0.6</v>
      </c>
      <c r="F14" s="16">
        <f t="shared" si="2"/>
        <v>22.506782438375819</v>
      </c>
      <c r="G14" s="31">
        <f t="shared" si="3"/>
        <v>1.1100000000000001</v>
      </c>
      <c r="H14" s="16">
        <f t="shared" si="4"/>
        <v>25.134123456941136</v>
      </c>
      <c r="I14" s="31">
        <f t="shared" si="5"/>
        <v>1.62</v>
      </c>
      <c r="J14" s="16">
        <f t="shared" si="6"/>
        <v>9.8956093124286095</v>
      </c>
      <c r="K14" s="31">
        <f t="shared" si="7"/>
        <v>2.13</v>
      </c>
      <c r="L14" s="16">
        <f t="shared" si="8"/>
        <v>4.166725495199783</v>
      </c>
      <c r="M14" s="31">
        <f t="shared" si="9"/>
        <v>2.64</v>
      </c>
      <c r="N14" s="16">
        <f t="shared" si="10"/>
        <v>4.160396359213177</v>
      </c>
      <c r="O14" s="31">
        <f t="shared" si="11"/>
        <v>0</v>
      </c>
      <c r="P14" s="25">
        <f t="shared" si="12"/>
        <v>0</v>
      </c>
      <c r="Q14" s="31">
        <f t="shared" si="14"/>
        <v>0</v>
      </c>
      <c r="R14" s="16">
        <f t="shared" si="13"/>
        <v>0</v>
      </c>
      <c r="S14" s="8"/>
      <c r="T14" s="8"/>
      <c r="W14" s="7"/>
      <c r="X14" s="7"/>
    </row>
    <row r="15" spans="1:24">
      <c r="A15">
        <v>0.61</v>
      </c>
      <c r="B15">
        <v>2.5707270000000002</v>
      </c>
      <c r="C15">
        <v>5.4876360000000002</v>
      </c>
      <c r="D15">
        <f t="shared" si="0"/>
        <v>25.33302596816754</v>
      </c>
      <c r="E15" s="31">
        <f t="shared" si="1"/>
        <v>0.61</v>
      </c>
      <c r="F15" s="16">
        <f t="shared" si="2"/>
        <v>25.33302596816754</v>
      </c>
      <c r="G15" s="31">
        <f t="shared" si="3"/>
        <v>1.1200000000000001</v>
      </c>
      <c r="H15" s="16">
        <f t="shared" si="4"/>
        <v>24.830242203271034</v>
      </c>
      <c r="I15" s="31">
        <f t="shared" si="5"/>
        <v>1.63</v>
      </c>
      <c r="J15" s="16">
        <f t="shared" si="6"/>
        <v>9.6686249686101391</v>
      </c>
      <c r="K15" s="31">
        <f t="shared" si="7"/>
        <v>2.14</v>
      </c>
      <c r="L15" s="16">
        <f t="shared" si="8"/>
        <v>4.1818675653621415</v>
      </c>
      <c r="M15" s="31">
        <f t="shared" si="9"/>
        <v>2.65</v>
      </c>
      <c r="N15" s="16">
        <f t="shared" si="10"/>
        <v>4.4273695926887422</v>
      </c>
      <c r="O15" s="31">
        <f t="shared" si="11"/>
        <v>0</v>
      </c>
      <c r="P15" s="25">
        <f t="shared" si="12"/>
        <v>0</v>
      </c>
      <c r="Q15" s="31">
        <f t="shared" si="14"/>
        <v>0</v>
      </c>
      <c r="R15" s="16">
        <f t="shared" si="13"/>
        <v>0</v>
      </c>
      <c r="S15" s="8"/>
      <c r="T15" s="8"/>
      <c r="W15" s="7"/>
      <c r="X15" s="7"/>
    </row>
    <row r="16" spans="1:24">
      <c r="A16">
        <v>0.62</v>
      </c>
      <c r="B16">
        <v>2.5070450000000002</v>
      </c>
      <c r="C16">
        <v>5.8102270000000003</v>
      </c>
      <c r="D16">
        <f t="shared" si="0"/>
        <v>28.079305448410803</v>
      </c>
      <c r="E16" s="31">
        <f t="shared" si="1"/>
        <v>0.62</v>
      </c>
      <c r="F16" s="16">
        <f t="shared" si="2"/>
        <v>28.079305448410803</v>
      </c>
      <c r="G16" s="31">
        <f t="shared" si="3"/>
        <v>1.1299999999999999</v>
      </c>
      <c r="H16" s="16">
        <f t="shared" si="4"/>
        <v>24.500244487348517</v>
      </c>
      <c r="I16" s="31">
        <f t="shared" si="5"/>
        <v>1.64</v>
      </c>
      <c r="J16" s="16">
        <f t="shared" si="6"/>
        <v>9.4521820547300006</v>
      </c>
      <c r="K16" s="31">
        <f t="shared" si="7"/>
        <v>2.15</v>
      </c>
      <c r="L16" s="16">
        <f t="shared" si="8"/>
        <v>4.1524259394532708</v>
      </c>
      <c r="M16" s="31">
        <f t="shared" si="9"/>
        <v>2.66</v>
      </c>
      <c r="N16" s="16">
        <f t="shared" si="10"/>
        <v>4.7238329240257357</v>
      </c>
      <c r="O16" s="31">
        <f t="shared" si="11"/>
        <v>0</v>
      </c>
      <c r="P16" s="25">
        <f t="shared" si="12"/>
        <v>0</v>
      </c>
      <c r="Q16" s="31">
        <f t="shared" si="14"/>
        <v>0</v>
      </c>
      <c r="R16" s="16">
        <f t="shared" si="13"/>
        <v>0</v>
      </c>
      <c r="S16" s="8"/>
      <c r="T16" s="8"/>
      <c r="W16" s="7"/>
      <c r="X16" s="7"/>
    </row>
    <row r="17" spans="1:24">
      <c r="A17">
        <v>0.63</v>
      </c>
      <c r="B17">
        <v>2.4111669999999998</v>
      </c>
      <c r="C17">
        <v>6.0217000000000001</v>
      </c>
      <c r="D17">
        <f t="shared" si="0"/>
        <v>30.576294163458108</v>
      </c>
      <c r="E17" s="31">
        <f t="shared" si="1"/>
        <v>0.63</v>
      </c>
      <c r="F17" s="16">
        <f t="shared" si="2"/>
        <v>30.576294163458108</v>
      </c>
      <c r="G17" s="31">
        <f t="shared" si="3"/>
        <v>1.1399999999999999</v>
      </c>
      <c r="H17" s="16">
        <f t="shared" si="4"/>
        <v>24.11817460442979</v>
      </c>
      <c r="I17" s="31">
        <f t="shared" si="5"/>
        <v>1.65</v>
      </c>
      <c r="J17" s="16">
        <f t="shared" si="6"/>
        <v>9.235380087681472</v>
      </c>
      <c r="K17" s="31">
        <f t="shared" si="7"/>
        <v>2.16</v>
      </c>
      <c r="L17" s="16">
        <f t="shared" si="8"/>
        <v>4.1218257624206274</v>
      </c>
      <c r="M17" s="31">
        <f t="shared" si="9"/>
        <v>2.67</v>
      </c>
      <c r="N17" s="16">
        <f t="shared" si="10"/>
        <v>5.3176453416728675</v>
      </c>
      <c r="O17" s="31">
        <f t="shared" si="11"/>
        <v>0</v>
      </c>
      <c r="P17" s="25">
        <f t="shared" si="12"/>
        <v>0</v>
      </c>
      <c r="Q17" s="31">
        <f t="shared" si="14"/>
        <v>0</v>
      </c>
      <c r="R17" s="16">
        <f t="shared" si="13"/>
        <v>0</v>
      </c>
      <c r="S17" s="8"/>
      <c r="T17" s="8"/>
      <c r="W17" s="7"/>
      <c r="X17" s="7"/>
    </row>
    <row r="18" spans="1:24">
      <c r="A18">
        <v>0.64</v>
      </c>
      <c r="B18">
        <v>2.2674089999999998</v>
      </c>
      <c r="C18">
        <v>6.1995449999999996</v>
      </c>
      <c r="D18">
        <f t="shared" si="0"/>
        <v>33.60230389026615</v>
      </c>
      <c r="E18" s="31">
        <f t="shared" si="1"/>
        <v>0.64</v>
      </c>
      <c r="F18" s="16">
        <f t="shared" si="2"/>
        <v>33.60230389026615</v>
      </c>
      <c r="G18" s="31">
        <f t="shared" si="3"/>
        <v>1.1499999999999999</v>
      </c>
      <c r="H18" s="16">
        <f t="shared" si="4"/>
        <v>23.848160910270316</v>
      </c>
      <c r="I18" s="31">
        <f t="shared" si="5"/>
        <v>1.66</v>
      </c>
      <c r="J18" s="16">
        <f t="shared" si="6"/>
        <v>9.0423065521082346</v>
      </c>
      <c r="K18" s="31">
        <f t="shared" si="7"/>
        <v>2.17</v>
      </c>
      <c r="L18" s="16">
        <f t="shared" si="8"/>
        <v>4.1135687359931623</v>
      </c>
      <c r="M18" s="31">
        <f t="shared" si="9"/>
        <v>2.68</v>
      </c>
      <c r="N18" s="16">
        <f t="shared" si="10"/>
        <v>7.8503515559216304</v>
      </c>
      <c r="O18" s="31">
        <f t="shared" si="11"/>
        <v>0</v>
      </c>
      <c r="P18" s="25">
        <f t="shared" si="12"/>
        <v>0</v>
      </c>
      <c r="Q18" s="31">
        <f t="shared" si="14"/>
        <v>0</v>
      </c>
      <c r="R18" s="16">
        <f t="shared" si="13"/>
        <v>0</v>
      </c>
      <c r="S18" s="8"/>
      <c r="T18" s="8"/>
      <c r="W18" s="7"/>
      <c r="X18" s="7"/>
    </row>
    <row r="19" spans="1:24">
      <c r="A19">
        <v>0.65</v>
      </c>
      <c r="B19">
        <v>2.2583639999999998</v>
      </c>
      <c r="C19">
        <v>6.5460909999999997</v>
      </c>
      <c r="D19">
        <f t="shared" si="0"/>
        <v>35.552930469941082</v>
      </c>
      <c r="E19" s="31">
        <f t="shared" si="1"/>
        <v>0.65</v>
      </c>
      <c r="F19" s="16">
        <f t="shared" si="2"/>
        <v>35.552930469941082</v>
      </c>
      <c r="G19" s="31">
        <f t="shared" si="3"/>
        <v>1.1599999999999999</v>
      </c>
      <c r="H19" s="16">
        <f t="shared" si="4"/>
        <v>23.53435794418677</v>
      </c>
      <c r="I19" s="31">
        <f t="shared" si="5"/>
        <v>1.67</v>
      </c>
      <c r="J19" s="16">
        <f t="shared" si="6"/>
        <v>8.8276724500977686</v>
      </c>
      <c r="K19" s="31">
        <f t="shared" si="7"/>
        <v>2.1800000000000002</v>
      </c>
      <c r="L19" s="16">
        <f t="shared" si="8"/>
        <v>4.0735864052318282</v>
      </c>
      <c r="M19" s="31">
        <f t="shared" si="9"/>
        <v>2.69</v>
      </c>
      <c r="N19" s="16">
        <f t="shared" si="10"/>
        <v>12.561809393291037</v>
      </c>
      <c r="O19" s="31">
        <f t="shared" si="11"/>
        <v>0</v>
      </c>
      <c r="P19" s="25">
        <f t="shared" si="12"/>
        <v>0</v>
      </c>
      <c r="Q19" s="31">
        <f t="shared" si="14"/>
        <v>0</v>
      </c>
      <c r="R19" s="16">
        <f t="shared" si="13"/>
        <v>0</v>
      </c>
      <c r="S19" s="8"/>
      <c r="T19" s="8"/>
      <c r="W19" s="7"/>
      <c r="X19" s="7"/>
    </row>
    <row r="20" spans="1:24">
      <c r="A20">
        <v>0.66</v>
      </c>
      <c r="B20">
        <v>2.4371360000000002</v>
      </c>
      <c r="C20">
        <v>6.9871819999999998</v>
      </c>
      <c r="D20">
        <f t="shared" si="0"/>
        <v>35.186330068291682</v>
      </c>
      <c r="E20" s="31">
        <f t="shared" si="1"/>
        <v>0.66</v>
      </c>
      <c r="F20" s="16">
        <f t="shared" si="2"/>
        <v>35.186330068291682</v>
      </c>
      <c r="G20" s="31">
        <f t="shared" si="3"/>
        <v>1.17</v>
      </c>
      <c r="H20" s="16">
        <f t="shared" si="4"/>
        <v>23.109812231573144</v>
      </c>
      <c r="I20" s="31">
        <f t="shared" si="5"/>
        <v>1.68</v>
      </c>
      <c r="J20" s="16">
        <f t="shared" si="6"/>
        <v>8.6469748391561581</v>
      </c>
      <c r="K20" s="31">
        <f t="shared" si="7"/>
        <v>2.19</v>
      </c>
      <c r="L20" s="16">
        <f t="shared" si="8"/>
        <v>4.0267213476033827</v>
      </c>
      <c r="M20" s="31">
        <f t="shared" si="9"/>
        <v>2.7</v>
      </c>
      <c r="N20" s="16">
        <f t="shared" si="10"/>
        <v>11.03677109365197</v>
      </c>
      <c r="O20" s="31">
        <f t="shared" si="11"/>
        <v>0</v>
      </c>
      <c r="P20" s="25">
        <f t="shared" si="12"/>
        <v>0</v>
      </c>
      <c r="Q20" s="31">
        <f t="shared" si="14"/>
        <v>0</v>
      </c>
      <c r="R20" s="16">
        <f t="shared" si="13"/>
        <v>0</v>
      </c>
      <c r="S20" s="8"/>
      <c r="T20" s="8"/>
      <c r="W20" s="7"/>
      <c r="X20" s="7"/>
    </row>
    <row r="21" spans="1:24">
      <c r="A21">
        <v>0.67</v>
      </c>
      <c r="B21">
        <v>2.4410630000000002</v>
      </c>
      <c r="C21">
        <v>7.3384549999999997</v>
      </c>
      <c r="D21">
        <f t="shared" si="0"/>
        <v>36.771203648242029</v>
      </c>
      <c r="E21" s="31">
        <f t="shared" si="1"/>
        <v>0.67</v>
      </c>
      <c r="F21" s="16">
        <f t="shared" si="2"/>
        <v>36.771203648242029</v>
      </c>
      <c r="G21" s="31">
        <f t="shared" si="3"/>
        <v>1.18</v>
      </c>
      <c r="H21" s="16">
        <f t="shared" si="4"/>
        <v>22.786737835704717</v>
      </c>
      <c r="I21" s="31">
        <f t="shared" si="5"/>
        <v>1.69</v>
      </c>
      <c r="J21" s="16">
        <f t="shared" si="6"/>
        <v>8.4519336825451692</v>
      </c>
      <c r="K21" s="31">
        <f t="shared" si="7"/>
        <v>2.2000000000000002</v>
      </c>
      <c r="L21" s="16">
        <f t="shared" si="8"/>
        <v>4.0313161495287311</v>
      </c>
      <c r="M21" s="31">
        <f t="shared" si="9"/>
        <v>2.71</v>
      </c>
      <c r="N21" s="16">
        <f t="shared" si="10"/>
        <v>6.1250198484046159</v>
      </c>
      <c r="O21" s="31">
        <f t="shared" si="11"/>
        <v>0</v>
      </c>
      <c r="P21" s="25">
        <f t="shared" si="12"/>
        <v>0</v>
      </c>
      <c r="Q21" s="31">
        <f t="shared" si="14"/>
        <v>0</v>
      </c>
      <c r="R21" s="16">
        <f t="shared" si="13"/>
        <v>0</v>
      </c>
      <c r="S21" s="8"/>
      <c r="T21" s="8"/>
      <c r="W21" s="7"/>
      <c r="X21" s="7"/>
    </row>
    <row r="22" spans="1:24">
      <c r="A22">
        <v>0.68</v>
      </c>
      <c r="B22">
        <v>2.415</v>
      </c>
      <c r="C22">
        <v>7.5907</v>
      </c>
      <c r="D22">
        <f t="shared" si="0"/>
        <v>38.258822497737931</v>
      </c>
      <c r="E22" s="31">
        <f t="shared" si="1"/>
        <v>0.68</v>
      </c>
      <c r="F22" s="16">
        <f t="shared" si="2"/>
        <v>38.258822497737931</v>
      </c>
      <c r="G22" s="31">
        <f t="shared" si="3"/>
        <v>1.19</v>
      </c>
      <c r="H22" s="16">
        <f t="shared" si="4"/>
        <v>22.477441388485246</v>
      </c>
      <c r="I22" s="31">
        <f t="shared" si="5"/>
        <v>1.7</v>
      </c>
      <c r="J22" s="16">
        <f t="shared" si="6"/>
        <v>8.2441841929786754</v>
      </c>
      <c r="K22" s="31">
        <f t="shared" si="7"/>
        <v>2.21</v>
      </c>
      <c r="L22" s="16">
        <f t="shared" si="8"/>
        <v>4.0281285690743101</v>
      </c>
      <c r="M22" s="31">
        <f t="shared" si="9"/>
        <v>2.72</v>
      </c>
      <c r="N22" s="16">
        <f t="shared" si="10"/>
        <v>6.2077984999919629</v>
      </c>
      <c r="O22" s="31">
        <f t="shared" si="11"/>
        <v>0</v>
      </c>
      <c r="P22" s="25">
        <f t="shared" si="12"/>
        <v>0</v>
      </c>
      <c r="Q22" s="31">
        <f t="shared" si="14"/>
        <v>0</v>
      </c>
      <c r="R22" s="16">
        <f t="shared" si="13"/>
        <v>0</v>
      </c>
      <c r="S22" s="8"/>
      <c r="T22" s="8"/>
      <c r="W22" s="7"/>
      <c r="X22" s="7"/>
    </row>
    <row r="23" spans="1:24">
      <c r="A23">
        <v>0.69</v>
      </c>
      <c r="B23">
        <v>2.4787729999999999</v>
      </c>
      <c r="C23">
        <v>7.7471819999999996</v>
      </c>
      <c r="D23">
        <f t="shared" si="0"/>
        <v>38.069769365774889</v>
      </c>
      <c r="E23" s="31">
        <f t="shared" si="1"/>
        <v>0.69</v>
      </c>
      <c r="F23" s="16">
        <f t="shared" si="2"/>
        <v>38.069769365774889</v>
      </c>
      <c r="G23" s="31">
        <f t="shared" si="3"/>
        <v>1.2</v>
      </c>
      <c r="H23" s="16">
        <f t="shared" si="4"/>
        <v>22.13860005085143</v>
      </c>
      <c r="I23" s="31">
        <f t="shared" si="5"/>
        <v>1.71</v>
      </c>
      <c r="J23" s="16">
        <f t="shared" si="6"/>
        <v>8.0834084059479334</v>
      </c>
      <c r="K23" s="31">
        <f t="shared" si="7"/>
        <v>2.2200000000000002</v>
      </c>
      <c r="L23" s="16">
        <f t="shared" si="8"/>
        <v>4.1416076367406891</v>
      </c>
      <c r="M23" s="31">
        <f t="shared" si="9"/>
        <v>2.73</v>
      </c>
      <c r="N23" s="16">
        <f t="shared" si="10"/>
        <v>7.0082419302529821</v>
      </c>
      <c r="O23" s="31">
        <f t="shared" si="11"/>
        <v>0</v>
      </c>
      <c r="P23" s="25">
        <f t="shared" si="12"/>
        <v>0</v>
      </c>
      <c r="Q23" s="31">
        <f t="shared" si="14"/>
        <v>0</v>
      </c>
      <c r="R23" s="16">
        <f t="shared" si="13"/>
        <v>0</v>
      </c>
      <c r="S23" s="8"/>
      <c r="T23" s="8"/>
      <c r="W23" s="7"/>
      <c r="X23" s="7"/>
    </row>
    <row r="24" spans="1:24">
      <c r="A24">
        <v>0.7</v>
      </c>
      <c r="B24">
        <v>2.5750000000000002</v>
      </c>
      <c r="C24">
        <v>7.797091</v>
      </c>
      <c r="D24">
        <f t="shared" si="0"/>
        <v>37.011951502488394</v>
      </c>
      <c r="E24" s="31">
        <f t="shared" si="1"/>
        <v>0.7</v>
      </c>
      <c r="F24" s="16">
        <f t="shared" si="2"/>
        <v>37.011951502488394</v>
      </c>
      <c r="G24" s="31">
        <f t="shared" si="3"/>
        <v>1.21</v>
      </c>
      <c r="H24" s="16">
        <f t="shared" si="4"/>
        <v>21.767762962721935</v>
      </c>
      <c r="I24" s="31">
        <f t="shared" si="5"/>
        <v>1.72</v>
      </c>
      <c r="J24" s="16">
        <f t="shared" si="6"/>
        <v>7.9217581799360817</v>
      </c>
      <c r="K24" s="31">
        <f t="shared" si="7"/>
        <v>2.23</v>
      </c>
      <c r="L24" s="16">
        <f t="shared" si="8"/>
        <v>4.2804637978148703</v>
      </c>
      <c r="M24" s="31">
        <f t="shared" si="9"/>
        <v>2.74</v>
      </c>
      <c r="N24" s="16">
        <f t="shared" si="10"/>
        <v>8.6277059003438374</v>
      </c>
      <c r="O24" s="31">
        <f t="shared" si="11"/>
        <v>0</v>
      </c>
      <c r="P24" s="25">
        <f t="shared" si="12"/>
        <v>0</v>
      </c>
      <c r="Q24" s="31">
        <f t="shared" si="14"/>
        <v>0</v>
      </c>
      <c r="R24" s="16">
        <f t="shared" si="13"/>
        <v>0</v>
      </c>
      <c r="S24" s="8"/>
      <c r="T24" s="8"/>
      <c r="W24" s="7"/>
      <c r="X24" s="7"/>
    </row>
    <row r="25" spans="1:24">
      <c r="A25">
        <v>0.71</v>
      </c>
      <c r="B25">
        <v>2.7055910000000001</v>
      </c>
      <c r="C25">
        <v>7.7247269999999997</v>
      </c>
      <c r="D25">
        <f t="shared" si="0"/>
        <v>35.047768795669455</v>
      </c>
      <c r="E25" s="31">
        <f t="shared" si="1"/>
        <v>0.71</v>
      </c>
      <c r="F25" s="16">
        <f t="shared" si="2"/>
        <v>35.047768795669455</v>
      </c>
      <c r="G25" s="31">
        <f t="shared" si="3"/>
        <v>1.22</v>
      </c>
      <c r="H25" s="16">
        <f t="shared" si="4"/>
        <v>21.464894267046237</v>
      </c>
      <c r="I25" s="31">
        <f t="shared" si="5"/>
        <v>1.73</v>
      </c>
      <c r="J25" s="16">
        <f t="shared" si="6"/>
        <v>7.8015313478071873</v>
      </c>
      <c r="K25" s="31">
        <f t="shared" si="7"/>
        <v>2.2400000000000002</v>
      </c>
      <c r="L25" s="16">
        <f t="shared" si="8"/>
        <v>4.3502090049790594</v>
      </c>
      <c r="M25" s="31">
        <f t="shared" si="9"/>
        <v>2.75</v>
      </c>
      <c r="N25" s="16">
        <f t="shared" si="10"/>
        <v>11.341337044020651</v>
      </c>
      <c r="O25" s="31">
        <f t="shared" si="11"/>
        <v>0</v>
      </c>
      <c r="P25" s="25">
        <f t="shared" si="12"/>
        <v>0</v>
      </c>
      <c r="Q25" s="31">
        <f t="shared" si="14"/>
        <v>0</v>
      </c>
      <c r="R25" s="16">
        <f t="shared" si="13"/>
        <v>0</v>
      </c>
      <c r="S25" s="8"/>
      <c r="T25" s="8"/>
      <c r="W25" s="7"/>
      <c r="X25" s="7"/>
    </row>
    <row r="26" spans="1:24">
      <c r="A26">
        <v>0.72</v>
      </c>
      <c r="B26">
        <v>2.8067730000000002</v>
      </c>
      <c r="C26">
        <v>7.532273</v>
      </c>
      <c r="D26">
        <f t="shared" si="0"/>
        <v>32.978366313336089</v>
      </c>
      <c r="E26" s="31">
        <f t="shared" si="1"/>
        <v>0.72</v>
      </c>
      <c r="F26" s="16">
        <f t="shared" si="2"/>
        <v>32.978366313336089</v>
      </c>
      <c r="G26" s="31">
        <f t="shared" si="3"/>
        <v>1.23</v>
      </c>
      <c r="H26" s="16">
        <f t="shared" si="4"/>
        <v>21.170656315666285</v>
      </c>
      <c r="I26" s="31">
        <f t="shared" si="5"/>
        <v>1.74</v>
      </c>
      <c r="J26" s="16">
        <f t="shared" si="6"/>
        <v>7.6822498091888791</v>
      </c>
      <c r="K26" s="31">
        <f t="shared" si="7"/>
        <v>2.25</v>
      </c>
      <c r="L26" s="16">
        <f t="shared" si="8"/>
        <v>4.3877063470732187</v>
      </c>
      <c r="M26" s="31">
        <f t="shared" si="9"/>
        <v>2.76</v>
      </c>
      <c r="N26" s="16">
        <f t="shared" si="10"/>
        <v>15.230986222222519</v>
      </c>
      <c r="O26" s="31">
        <f t="shared" si="11"/>
        <v>0</v>
      </c>
      <c r="P26" s="25">
        <f t="shared" si="12"/>
        <v>0</v>
      </c>
      <c r="Q26" s="31">
        <f t="shared" si="14"/>
        <v>0</v>
      </c>
      <c r="R26" s="16">
        <f t="shared" si="13"/>
        <v>0</v>
      </c>
      <c r="S26" s="8"/>
      <c r="T26" s="8"/>
      <c r="W26" s="7"/>
      <c r="X26" s="7"/>
    </row>
    <row r="27" spans="1:24">
      <c r="A27">
        <v>0.73</v>
      </c>
      <c r="B27">
        <v>2.8669549999999999</v>
      </c>
      <c r="C27">
        <v>7.2313640000000001</v>
      </c>
      <c r="D27">
        <f t="shared" si="0"/>
        <v>30.907642044824012</v>
      </c>
      <c r="E27" s="31">
        <f t="shared" si="1"/>
        <v>0.73</v>
      </c>
      <c r="F27" s="16">
        <f t="shared" si="2"/>
        <v>30.907642044824012</v>
      </c>
      <c r="G27" s="31">
        <f t="shared" si="3"/>
        <v>1.24</v>
      </c>
      <c r="H27" s="16">
        <f t="shared" si="4"/>
        <v>20.809911408404112</v>
      </c>
      <c r="I27" s="31">
        <f t="shared" si="5"/>
        <v>1.75</v>
      </c>
      <c r="J27" s="16">
        <f t="shared" si="6"/>
        <v>7.5368747811598</v>
      </c>
      <c r="K27" s="31">
        <f t="shared" si="7"/>
        <v>2.2599999999999998</v>
      </c>
      <c r="L27" s="16">
        <f t="shared" si="8"/>
        <v>4.2938678854643548</v>
      </c>
      <c r="M27" s="31">
        <f t="shared" si="9"/>
        <v>2.77</v>
      </c>
      <c r="N27" s="16">
        <f t="shared" si="10"/>
        <v>21.435990942960675</v>
      </c>
      <c r="O27" s="31">
        <f t="shared" si="11"/>
        <v>0</v>
      </c>
      <c r="P27" s="25">
        <f t="shared" si="12"/>
        <v>0</v>
      </c>
      <c r="Q27" s="31">
        <f t="shared" si="14"/>
        <v>0</v>
      </c>
      <c r="R27" s="16">
        <f t="shared" si="13"/>
        <v>0</v>
      </c>
      <c r="S27" s="8"/>
      <c r="T27" s="8"/>
      <c r="W27" s="7"/>
      <c r="X27" s="7"/>
    </row>
    <row r="28" spans="1:24">
      <c r="A28">
        <v>0.74</v>
      </c>
      <c r="B28">
        <v>2.8688889999999998</v>
      </c>
      <c r="C28">
        <v>6.8392730000000004</v>
      </c>
      <c r="D28">
        <f t="shared" si="0"/>
        <v>29.022784176436264</v>
      </c>
      <c r="E28" s="31">
        <f t="shared" si="1"/>
        <v>0.74</v>
      </c>
      <c r="F28" s="16">
        <f t="shared" si="2"/>
        <v>29.022784176436264</v>
      </c>
      <c r="G28" s="31">
        <f t="shared" si="3"/>
        <v>1.25</v>
      </c>
      <c r="H28" s="16">
        <f t="shared" si="4"/>
        <v>20.437850154417259</v>
      </c>
      <c r="I28" s="31">
        <f>A130</f>
        <v>1.76</v>
      </c>
      <c r="J28" s="16">
        <f t="shared" si="6"/>
        <v>7.3286995279321028</v>
      </c>
      <c r="K28" s="31">
        <f t="shared" si="7"/>
        <v>2.27</v>
      </c>
      <c r="L28" s="16">
        <f t="shared" si="8"/>
        <v>4.1248562747891349</v>
      </c>
      <c r="M28" s="31">
        <f t="shared" si="9"/>
        <v>2.78</v>
      </c>
      <c r="N28" s="16">
        <f t="shared" si="10"/>
        <v>28.065305920953286</v>
      </c>
      <c r="O28" s="31">
        <f t="shared" si="11"/>
        <v>0</v>
      </c>
      <c r="P28" s="25">
        <f t="shared" si="12"/>
        <v>0</v>
      </c>
      <c r="Q28" s="31">
        <f t="shared" si="14"/>
        <v>0</v>
      </c>
      <c r="R28" s="16">
        <f t="shared" si="13"/>
        <v>0</v>
      </c>
      <c r="S28" s="8"/>
      <c r="T28" s="8"/>
      <c r="W28" s="7"/>
      <c r="X28" s="7"/>
    </row>
    <row r="29" spans="1:24">
      <c r="A29">
        <v>0.75</v>
      </c>
      <c r="B29">
        <v>2.8290000000000002</v>
      </c>
      <c r="C29">
        <v>6.388636</v>
      </c>
      <c r="D29">
        <f t="shared" si="0"/>
        <v>27.213476688042103</v>
      </c>
      <c r="E29" s="31">
        <f t="shared" si="1"/>
        <v>0.75</v>
      </c>
      <c r="F29" s="16">
        <f t="shared" si="2"/>
        <v>27.213476688042103</v>
      </c>
      <c r="G29" s="31">
        <f t="shared" si="3"/>
        <v>1.26</v>
      </c>
      <c r="H29" s="16">
        <f t="shared" si="4"/>
        <v>20.163270657425414</v>
      </c>
      <c r="I29" s="31">
        <f t="shared" si="5"/>
        <v>1.77</v>
      </c>
      <c r="J29" s="16">
        <f t="shared" si="6"/>
        <v>7.1614640186823042</v>
      </c>
      <c r="K29" s="31">
        <f t="shared" si="7"/>
        <v>2.2799999999999998</v>
      </c>
      <c r="L29" s="16">
        <f t="shared" si="8"/>
        <v>4.0072431786227192</v>
      </c>
      <c r="M29" s="31">
        <f t="shared" si="9"/>
        <v>2.79</v>
      </c>
      <c r="N29" s="16">
        <f t="shared" si="10"/>
        <v>31.909025828947929</v>
      </c>
      <c r="O29" s="31">
        <f t="shared" si="11"/>
        <v>0</v>
      </c>
      <c r="P29" s="25">
        <f t="shared" si="12"/>
        <v>0</v>
      </c>
      <c r="Q29" s="31">
        <f t="shared" si="14"/>
        <v>0</v>
      </c>
      <c r="R29" s="16">
        <f t="shared" si="13"/>
        <v>0</v>
      </c>
      <c r="S29" s="8"/>
      <c r="T29" s="8"/>
      <c r="W29" s="7"/>
      <c r="X29" s="7"/>
    </row>
    <row r="30" spans="1:24">
      <c r="A30">
        <v>0.76</v>
      </c>
      <c r="B30">
        <v>2.7384089999999999</v>
      </c>
      <c r="C30">
        <v>5.911727</v>
      </c>
      <c r="D30">
        <f t="shared" si="0"/>
        <v>25.70892745507501</v>
      </c>
      <c r="E30" s="31">
        <f t="shared" si="1"/>
        <v>0.76</v>
      </c>
      <c r="F30" s="16">
        <f t="shared" si="2"/>
        <v>25.70892745507501</v>
      </c>
      <c r="G30" s="31">
        <f t="shared" si="3"/>
        <v>1.27</v>
      </c>
      <c r="H30" s="16">
        <f t="shared" si="4"/>
        <v>19.801259159147268</v>
      </c>
      <c r="I30" s="31">
        <f t="shared" si="5"/>
        <v>1.78</v>
      </c>
      <c r="J30" s="16">
        <f t="shared" si="6"/>
        <v>6.9761922255964839</v>
      </c>
      <c r="K30" s="31">
        <f t="shared" si="7"/>
        <v>2.29</v>
      </c>
      <c r="L30" s="16">
        <f t="shared" si="8"/>
        <v>3.8936412747496059</v>
      </c>
      <c r="M30" s="31">
        <f t="shared" si="9"/>
        <v>2.8</v>
      </c>
      <c r="N30" s="16">
        <f t="shared" si="10"/>
        <v>36.507106895862407</v>
      </c>
      <c r="O30" s="31">
        <f t="shared" si="11"/>
        <v>0</v>
      </c>
      <c r="P30" s="25">
        <f t="shared" si="12"/>
        <v>0</v>
      </c>
      <c r="Q30" s="31">
        <f t="shared" si="14"/>
        <v>0</v>
      </c>
      <c r="R30" s="16">
        <f t="shared" si="13"/>
        <v>0</v>
      </c>
      <c r="S30" s="8"/>
      <c r="T30" s="8"/>
      <c r="W30" s="7"/>
      <c r="X30" s="7"/>
    </row>
    <row r="31" spans="1:24">
      <c r="A31">
        <v>0.77</v>
      </c>
      <c r="B31">
        <v>2.5880000000000001</v>
      </c>
      <c r="C31">
        <v>5.4053639999999996</v>
      </c>
      <c r="D31">
        <f t="shared" si="0"/>
        <v>24.604667145526975</v>
      </c>
      <c r="E31" s="31">
        <f t="shared" si="1"/>
        <v>0.77</v>
      </c>
      <c r="F31" s="16">
        <f t="shared" si="2"/>
        <v>24.604667145526975</v>
      </c>
      <c r="G31" s="31">
        <f t="shared" si="3"/>
        <v>1.28</v>
      </c>
      <c r="H31" s="16">
        <f t="shared" si="4"/>
        <v>19.449341536922706</v>
      </c>
      <c r="I31" s="31">
        <f t="shared" si="5"/>
        <v>1.79</v>
      </c>
      <c r="J31" s="16">
        <f t="shared" si="6"/>
        <v>6.8095597833501103</v>
      </c>
      <c r="K31" s="31">
        <f t="shared" si="7"/>
        <v>2.2999999999999998</v>
      </c>
      <c r="L31" s="16">
        <f t="shared" si="8"/>
        <v>3.8162772552307005</v>
      </c>
      <c r="M31" s="31">
        <f t="shared" si="9"/>
        <v>2.81</v>
      </c>
      <c r="N31" s="16">
        <f t="shared" si="10"/>
        <v>40.528393150660278</v>
      </c>
      <c r="O31" s="31">
        <f t="shared" si="11"/>
        <v>0</v>
      </c>
      <c r="P31" s="25">
        <f t="shared" si="12"/>
        <v>0</v>
      </c>
      <c r="Q31" s="31">
        <f t="shared" si="14"/>
        <v>0</v>
      </c>
      <c r="R31" s="16">
        <f t="shared" si="13"/>
        <v>0</v>
      </c>
      <c r="S31" s="8"/>
      <c r="T31" s="8"/>
      <c r="W31" s="7"/>
      <c r="X31" s="7"/>
    </row>
    <row r="32" spans="1:24">
      <c r="A32">
        <v>0.78</v>
      </c>
      <c r="B32">
        <v>2.4260449999999998</v>
      </c>
      <c r="C32">
        <v>4.9524549999999996</v>
      </c>
      <c r="D32">
        <f t="shared" si="0"/>
        <v>23.840129680558427</v>
      </c>
      <c r="E32" s="31">
        <f t="shared" si="1"/>
        <v>0.78</v>
      </c>
      <c r="F32" s="16">
        <f t="shared" si="2"/>
        <v>23.840129680558427</v>
      </c>
      <c r="G32" s="31">
        <f t="shared" si="3"/>
        <v>1.29</v>
      </c>
      <c r="H32" s="16">
        <f t="shared" si="4"/>
        <v>19.154606593368086</v>
      </c>
      <c r="I32" s="31">
        <f t="shared" si="5"/>
        <v>1.8</v>
      </c>
      <c r="J32" s="16">
        <f t="shared" si="6"/>
        <v>6.6941352371735263</v>
      </c>
      <c r="K32" s="31">
        <f t="shared" si="7"/>
        <v>2.31</v>
      </c>
      <c r="L32" s="16">
        <f t="shared" si="8"/>
        <v>3.7567101648510954</v>
      </c>
      <c r="M32" s="31">
        <f t="shared" si="9"/>
        <v>2.82</v>
      </c>
      <c r="N32" s="16">
        <f t="shared" si="10"/>
        <v>43.714644568211249</v>
      </c>
      <c r="O32" s="31">
        <f t="shared" si="11"/>
        <v>0</v>
      </c>
      <c r="P32" s="25">
        <f t="shared" si="12"/>
        <v>0</v>
      </c>
      <c r="Q32" s="31">
        <f t="shared" si="14"/>
        <v>0</v>
      </c>
      <c r="R32" s="16">
        <f t="shared" si="13"/>
        <v>0</v>
      </c>
      <c r="S32" s="8"/>
      <c r="T32" s="8"/>
      <c r="W32" s="7"/>
      <c r="X32" s="7"/>
    </row>
    <row r="33" spans="1:24">
      <c r="A33">
        <v>0.79</v>
      </c>
      <c r="B33">
        <v>2.3831820000000001</v>
      </c>
      <c r="C33">
        <v>4.8308179999999998</v>
      </c>
      <c r="D33">
        <f t="shared" si="0"/>
        <v>23.604881986257951</v>
      </c>
      <c r="E33" s="31">
        <f t="shared" si="1"/>
        <v>0.79</v>
      </c>
      <c r="F33" s="16">
        <f t="shared" si="2"/>
        <v>23.604881986257951</v>
      </c>
      <c r="G33" s="31">
        <f t="shared" si="3"/>
        <v>1.3</v>
      </c>
      <c r="H33" s="16">
        <f t="shared" si="4"/>
        <v>18.824042823177248</v>
      </c>
      <c r="I33" s="31">
        <f t="shared" si="5"/>
        <v>1.81</v>
      </c>
      <c r="J33" s="16">
        <f t="shared" si="6"/>
        <v>6.6110426116690455</v>
      </c>
      <c r="K33" s="31">
        <f t="shared" si="7"/>
        <v>2.3199999999999998</v>
      </c>
      <c r="L33" s="16">
        <f t="shared" si="8"/>
        <v>3.701238939731601</v>
      </c>
      <c r="M33" s="31">
        <f t="shared" si="9"/>
        <v>2.83</v>
      </c>
      <c r="N33" s="16">
        <f t="shared" si="10"/>
        <v>46.384957000367116</v>
      </c>
      <c r="O33" s="31">
        <f t="shared" si="11"/>
        <v>0</v>
      </c>
      <c r="P33" s="25">
        <f t="shared" si="12"/>
        <v>0</v>
      </c>
      <c r="Q33" s="31">
        <f t="shared" si="14"/>
        <v>0</v>
      </c>
      <c r="R33" s="16">
        <f t="shared" si="13"/>
        <v>0</v>
      </c>
      <c r="S33" s="8"/>
      <c r="T33" s="8"/>
      <c r="W33" s="7"/>
      <c r="X33" s="7"/>
    </row>
    <row r="34" spans="1:24">
      <c r="A34">
        <v>0.8</v>
      </c>
      <c r="B34">
        <v>2.2764549999999999</v>
      </c>
      <c r="C34">
        <v>4.6639090000000003</v>
      </c>
      <c r="D34">
        <f t="shared" si="0"/>
        <v>23.960846023422647</v>
      </c>
      <c r="E34" s="31">
        <f t="shared" si="1"/>
        <v>0.8</v>
      </c>
      <c r="F34" s="16">
        <f t="shared" si="2"/>
        <v>23.960846023422647</v>
      </c>
      <c r="G34" s="31">
        <f t="shared" si="3"/>
        <v>1.31</v>
      </c>
      <c r="H34" s="16">
        <f t="shared" si="4"/>
        <v>18.512862927518814</v>
      </c>
      <c r="I34" s="31">
        <f t="shared" si="5"/>
        <v>1.82</v>
      </c>
      <c r="J34" s="16">
        <f t="shared" si="6"/>
        <v>6.4842575244692302</v>
      </c>
      <c r="K34" s="31">
        <f t="shared" si="7"/>
        <v>2.33</v>
      </c>
      <c r="L34" s="16">
        <f t="shared" si="8"/>
        <v>3.6347414986903686</v>
      </c>
      <c r="M34" s="31">
        <f t="shared" si="9"/>
        <v>2.84</v>
      </c>
      <c r="N34" s="16">
        <f t="shared" si="10"/>
        <v>48.504489478716664</v>
      </c>
      <c r="O34" s="31">
        <f t="shared" si="11"/>
        <v>0</v>
      </c>
      <c r="P34" s="25">
        <f t="shared" si="12"/>
        <v>0</v>
      </c>
      <c r="Q34" s="31">
        <f t="shared" si="14"/>
        <v>0</v>
      </c>
      <c r="R34" s="16">
        <f t="shared" si="13"/>
        <v>0</v>
      </c>
      <c r="S34" s="8"/>
      <c r="T34" s="8"/>
      <c r="W34" s="7"/>
      <c r="X34" s="7"/>
    </row>
    <row r="35" spans="1:24">
      <c r="A35">
        <v>0.81</v>
      </c>
      <c r="B35">
        <v>2.032273</v>
      </c>
      <c r="C35">
        <v>4.1914999999999996</v>
      </c>
      <c r="D35">
        <f t="shared" si="0"/>
        <v>24.183647935953125</v>
      </c>
      <c r="E35" s="31">
        <f t="shared" si="1"/>
        <v>0.81</v>
      </c>
      <c r="F35" s="16">
        <f t="shared" si="2"/>
        <v>24.183647935953125</v>
      </c>
      <c r="G35" s="31">
        <f t="shared" si="3"/>
        <v>1.32</v>
      </c>
      <c r="H35" s="16">
        <f t="shared" si="4"/>
        <v>18.19233539676857</v>
      </c>
      <c r="I35" s="31">
        <f t="shared" si="5"/>
        <v>1.83</v>
      </c>
      <c r="J35" s="16">
        <f t="shared" si="6"/>
        <v>6.373142039015768</v>
      </c>
      <c r="K35" s="31">
        <f t="shared" si="7"/>
        <v>2.34</v>
      </c>
      <c r="L35" s="16">
        <f t="shared" si="8"/>
        <v>3.6674841468581221</v>
      </c>
      <c r="M35" s="31">
        <f t="shared" si="9"/>
        <v>2.85</v>
      </c>
      <c r="N35" s="16">
        <f t="shared" si="10"/>
        <v>49.943436787003378</v>
      </c>
      <c r="O35" s="31">
        <f t="shared" si="11"/>
        <v>0</v>
      </c>
      <c r="P35" s="25">
        <f t="shared" si="12"/>
        <v>0</v>
      </c>
      <c r="Q35" s="31">
        <f t="shared" si="14"/>
        <v>0</v>
      </c>
      <c r="R35" s="16">
        <f t="shared" si="13"/>
        <v>0</v>
      </c>
      <c r="S35" s="8"/>
      <c r="T35" s="8"/>
      <c r="W35" s="7"/>
      <c r="X35" s="7"/>
    </row>
    <row r="36" spans="1:24">
      <c r="A36">
        <v>0.82</v>
      </c>
      <c r="B36">
        <v>1.8206</v>
      </c>
      <c r="C36">
        <v>3.781091</v>
      </c>
      <c r="D36">
        <f t="shared" si="0"/>
        <v>24.415583947223418</v>
      </c>
      <c r="E36" s="31">
        <f t="shared" si="1"/>
        <v>0.82</v>
      </c>
      <c r="F36" s="16">
        <f t="shared" si="2"/>
        <v>24.415583947223418</v>
      </c>
      <c r="G36" s="31">
        <f t="shared" si="3"/>
        <v>1.33</v>
      </c>
      <c r="H36" s="16">
        <f t="shared" si="4"/>
        <v>17.854498394313801</v>
      </c>
      <c r="I36" s="31">
        <f t="shared" si="5"/>
        <v>1.84</v>
      </c>
      <c r="J36" s="16">
        <f t="shared" si="6"/>
        <v>6.242286641170101</v>
      </c>
      <c r="K36" s="31">
        <f t="shared" si="7"/>
        <v>2.35</v>
      </c>
      <c r="L36" s="16">
        <f t="shared" si="8"/>
        <v>3.7473517978768696</v>
      </c>
      <c r="M36" s="31">
        <f t="shared" si="9"/>
        <v>2.86</v>
      </c>
      <c r="N36" s="16">
        <f t="shared" si="10"/>
        <v>50.964541442593195</v>
      </c>
      <c r="O36" s="31">
        <f t="shared" si="11"/>
        <v>0</v>
      </c>
      <c r="P36" s="25">
        <f t="shared" si="12"/>
        <v>0</v>
      </c>
      <c r="Q36" s="31">
        <f t="shared" si="14"/>
        <v>0</v>
      </c>
      <c r="R36" s="16">
        <f t="shared" si="13"/>
        <v>0</v>
      </c>
      <c r="S36" s="8"/>
      <c r="T36" s="8"/>
      <c r="W36" s="7"/>
      <c r="X36" s="7"/>
    </row>
    <row r="37" spans="1:24">
      <c r="A37">
        <v>0.83</v>
      </c>
      <c r="B37">
        <v>1.5002</v>
      </c>
      <c r="C37">
        <v>3.116136</v>
      </c>
      <c r="D37">
        <f t="shared" si="0"/>
        <v>24.420557118987468</v>
      </c>
      <c r="E37" s="31">
        <f t="shared" si="1"/>
        <v>0.83</v>
      </c>
      <c r="F37" s="16">
        <f t="shared" si="2"/>
        <v>24.420557118987468</v>
      </c>
      <c r="G37" s="31">
        <f t="shared" si="3"/>
        <v>1.34</v>
      </c>
      <c r="H37" s="16">
        <f t="shared" si="4"/>
        <v>17.602100623901542</v>
      </c>
      <c r="I37" s="31">
        <f t="shared" si="5"/>
        <v>1.85</v>
      </c>
      <c r="J37" s="16">
        <f t="shared" si="6"/>
        <v>6.0906028574843072</v>
      </c>
      <c r="K37" s="31">
        <f t="shared" si="7"/>
        <v>2.36</v>
      </c>
      <c r="L37" s="16">
        <f t="shared" si="8"/>
        <v>3.7861317873051696</v>
      </c>
      <c r="M37" s="31">
        <f t="shared" si="9"/>
        <v>2.87</v>
      </c>
      <c r="N37" s="16">
        <f t="shared" si="10"/>
        <v>51.722776833270707</v>
      </c>
      <c r="O37" s="31">
        <f t="shared" si="11"/>
        <v>0</v>
      </c>
      <c r="P37" s="25">
        <f t="shared" si="12"/>
        <v>0</v>
      </c>
      <c r="Q37" s="31">
        <f t="shared" si="14"/>
        <v>0</v>
      </c>
      <c r="R37" s="16">
        <f t="shared" si="13"/>
        <v>0</v>
      </c>
      <c r="S37" s="8"/>
      <c r="T37" s="8"/>
      <c r="W37" s="7"/>
      <c r="X37" s="7"/>
    </row>
    <row r="38" spans="1:24">
      <c r="A38">
        <v>0.84</v>
      </c>
      <c r="B38">
        <v>1.473527</v>
      </c>
      <c r="C38">
        <v>3.1005449999999999</v>
      </c>
      <c r="D38">
        <f t="shared" si="0"/>
        <v>24.852303145554572</v>
      </c>
      <c r="E38" s="31">
        <f t="shared" si="1"/>
        <v>0.84</v>
      </c>
      <c r="F38" s="16">
        <f t="shared" si="2"/>
        <v>24.852303145554572</v>
      </c>
      <c r="G38" s="31">
        <f t="shared" si="3"/>
        <v>1.35</v>
      </c>
      <c r="H38" s="16">
        <f t="shared" si="4"/>
        <v>17.327804511645269</v>
      </c>
      <c r="I38" s="31">
        <f t="shared" si="5"/>
        <v>1.86</v>
      </c>
      <c r="J38" s="16">
        <f t="shared" si="6"/>
        <v>5.9942830045306943</v>
      </c>
      <c r="K38" s="31">
        <f t="shared" si="7"/>
        <v>2.37</v>
      </c>
      <c r="L38" s="16">
        <f t="shared" si="8"/>
        <v>3.8327182671123219</v>
      </c>
      <c r="M38" s="31">
        <f t="shared" si="9"/>
        <v>2.88</v>
      </c>
      <c r="N38" s="16">
        <f t="shared" si="10"/>
        <v>52.123384520435003</v>
      </c>
      <c r="O38" s="31">
        <f t="shared" si="11"/>
        <v>0</v>
      </c>
      <c r="P38" s="25">
        <f t="shared" si="12"/>
        <v>0</v>
      </c>
      <c r="Q38" s="31">
        <f t="shared" si="14"/>
        <v>0</v>
      </c>
      <c r="R38" s="16">
        <f t="shared" si="13"/>
        <v>0</v>
      </c>
      <c r="S38" s="8"/>
      <c r="T38" s="8"/>
      <c r="W38" s="7"/>
      <c r="X38" s="7"/>
    </row>
    <row r="39" spans="1:24">
      <c r="A39">
        <v>0.85</v>
      </c>
      <c r="B39">
        <v>1.513218</v>
      </c>
      <c r="C39">
        <v>3.2555000000000001</v>
      </c>
      <c r="D39">
        <f t="shared" si="0"/>
        <v>25.593553924660664</v>
      </c>
      <c r="E39" s="31">
        <f t="shared" si="1"/>
        <v>0.85</v>
      </c>
      <c r="F39" s="16">
        <f t="shared" si="2"/>
        <v>25.593553924660664</v>
      </c>
      <c r="G39" s="31">
        <f t="shared" si="3"/>
        <v>1.36</v>
      </c>
      <c r="H39" s="16">
        <f t="shared" si="4"/>
        <v>16.969815024268211</v>
      </c>
      <c r="I39" s="31">
        <f t="shared" si="5"/>
        <v>1.87</v>
      </c>
      <c r="J39" s="16">
        <f t="shared" si="6"/>
        <v>5.8974685956907988</v>
      </c>
      <c r="K39" s="31">
        <f t="shared" si="7"/>
        <v>2.38</v>
      </c>
      <c r="L39" s="16">
        <f t="shared" si="8"/>
        <v>3.8363448758359895</v>
      </c>
      <c r="M39" s="31">
        <f t="shared" si="9"/>
        <v>2.89</v>
      </c>
      <c r="N39" s="16">
        <f t="shared" si="10"/>
        <v>52.303724498942245</v>
      </c>
      <c r="O39" s="31">
        <f t="shared" si="11"/>
        <v>0</v>
      </c>
      <c r="P39" s="25">
        <f t="shared" si="12"/>
        <v>0</v>
      </c>
      <c r="Q39" s="31">
        <f t="shared" si="14"/>
        <v>0</v>
      </c>
      <c r="R39" s="16">
        <f t="shared" si="13"/>
        <v>0</v>
      </c>
      <c r="S39" s="8"/>
      <c r="T39" s="8"/>
      <c r="W39" s="7"/>
      <c r="X39" s="7"/>
    </row>
    <row r="40" spans="1:24">
      <c r="A40">
        <v>0.86</v>
      </c>
      <c r="B40">
        <v>1.631473</v>
      </c>
      <c r="C40">
        <v>3.5748639999999998</v>
      </c>
      <c r="D40">
        <f t="shared" si="0"/>
        <v>26.206125658994395</v>
      </c>
      <c r="E40" s="31">
        <f t="shared" si="1"/>
        <v>0.86</v>
      </c>
      <c r="F40" s="16">
        <f t="shared" si="2"/>
        <v>26.206125658994395</v>
      </c>
      <c r="G40" s="31">
        <f t="shared" si="3"/>
        <v>1.37</v>
      </c>
      <c r="H40" s="16">
        <f t="shared" si="4"/>
        <v>16.629079247937081</v>
      </c>
      <c r="I40" s="31">
        <f t="shared" si="5"/>
        <v>1.88</v>
      </c>
      <c r="J40" s="16">
        <f t="shared" si="6"/>
        <v>5.7940097832008748</v>
      </c>
      <c r="K40" s="31">
        <f t="shared" si="7"/>
        <v>2.39</v>
      </c>
      <c r="L40" s="16">
        <f t="shared" si="8"/>
        <v>3.9773401613360848</v>
      </c>
      <c r="M40" s="31">
        <f t="shared" si="9"/>
        <v>2.9</v>
      </c>
      <c r="N40" s="16">
        <f t="shared" si="10"/>
        <v>52.377136009112185</v>
      </c>
      <c r="O40" s="31">
        <f t="shared" si="11"/>
        <v>0</v>
      </c>
      <c r="P40" s="25">
        <f t="shared" si="12"/>
        <v>0</v>
      </c>
      <c r="Q40" s="31">
        <f t="shared" si="14"/>
        <v>0</v>
      </c>
      <c r="R40" s="16">
        <f t="shared" si="13"/>
        <v>0</v>
      </c>
      <c r="S40" s="8"/>
      <c r="T40" s="8"/>
      <c r="W40" s="7"/>
      <c r="X40" s="7"/>
    </row>
    <row r="41" spans="1:24">
      <c r="A41">
        <v>0.87</v>
      </c>
      <c r="B41">
        <v>1.8315269999999999</v>
      </c>
      <c r="C41">
        <v>4.1047269999999996</v>
      </c>
      <c r="D41">
        <f t="shared" si="0"/>
        <v>26.959304056269463</v>
      </c>
      <c r="E41" s="31">
        <f t="shared" si="1"/>
        <v>0.87</v>
      </c>
      <c r="F41" s="16">
        <f t="shared" si="2"/>
        <v>26.959304056269463</v>
      </c>
      <c r="G41" s="31">
        <f t="shared" si="3"/>
        <v>1.38</v>
      </c>
      <c r="H41" s="16">
        <f t="shared" si="4"/>
        <v>16.354563195346284</v>
      </c>
      <c r="I41" s="31">
        <f t="shared" si="5"/>
        <v>1.89</v>
      </c>
      <c r="J41" s="16">
        <f t="shared" si="6"/>
        <v>5.7727680842278648</v>
      </c>
      <c r="K41" s="31">
        <f t="shared" si="7"/>
        <v>2.4</v>
      </c>
      <c r="L41" s="16">
        <f t="shared" si="8"/>
        <v>4.0777524123344984</v>
      </c>
      <c r="M41" s="31">
        <f t="shared" si="9"/>
        <v>2.91</v>
      </c>
      <c r="N41" s="16">
        <f t="shared" si="10"/>
        <v>52.066261574385067</v>
      </c>
      <c r="O41" s="31">
        <f t="shared" si="11"/>
        <v>0</v>
      </c>
      <c r="P41" s="25">
        <f t="shared" si="12"/>
        <v>0</v>
      </c>
      <c r="Q41" s="31">
        <f t="shared" si="14"/>
        <v>0</v>
      </c>
      <c r="R41" s="16">
        <f t="shared" si="13"/>
        <v>0</v>
      </c>
      <c r="S41" s="8"/>
      <c r="T41" s="8"/>
      <c r="W41" s="7"/>
      <c r="X41" s="7"/>
    </row>
    <row r="42" spans="1:24">
      <c r="A42">
        <v>0.88</v>
      </c>
      <c r="B42">
        <v>2.1344180000000001</v>
      </c>
      <c r="C42">
        <v>4.8504550000000002</v>
      </c>
      <c r="D42">
        <f t="shared" si="0"/>
        <v>27.42330807941309</v>
      </c>
      <c r="E42" s="31">
        <f t="shared" si="1"/>
        <v>0.88</v>
      </c>
      <c r="F42" s="16">
        <f t="shared" si="2"/>
        <v>27.42330807941309</v>
      </c>
      <c r="G42" s="31">
        <f t="shared" si="3"/>
        <v>1.39</v>
      </c>
      <c r="H42" s="16">
        <f t="shared" si="4"/>
        <v>16.086983250546314</v>
      </c>
      <c r="I42" s="31">
        <f t="shared" si="5"/>
        <v>1.9</v>
      </c>
      <c r="J42" s="16">
        <f t="shared" si="6"/>
        <v>5.7347231855315579</v>
      </c>
      <c r="K42" s="31">
        <f t="shared" si="7"/>
        <v>2.41</v>
      </c>
      <c r="L42" s="16">
        <f t="shared" si="8"/>
        <v>4.1894313301494908</v>
      </c>
      <c r="M42" s="31">
        <f t="shared" si="9"/>
        <v>2.92</v>
      </c>
      <c r="N42" s="16">
        <f t="shared" si="10"/>
        <v>51.86947594952936</v>
      </c>
      <c r="O42" s="31">
        <f t="shared" si="11"/>
        <v>0</v>
      </c>
      <c r="P42" s="25">
        <f t="shared" si="12"/>
        <v>0</v>
      </c>
      <c r="Q42" s="31">
        <f t="shared" si="14"/>
        <v>0</v>
      </c>
      <c r="R42" s="16">
        <f t="shared" si="13"/>
        <v>0</v>
      </c>
      <c r="S42" s="8"/>
      <c r="T42" s="8"/>
      <c r="W42" s="7"/>
      <c r="X42" s="7"/>
    </row>
    <row r="43" spans="1:24">
      <c r="A43">
        <v>0.89</v>
      </c>
      <c r="B43">
        <v>2.508527</v>
      </c>
      <c r="C43">
        <v>5.8117270000000003</v>
      </c>
      <c r="D43">
        <f t="shared" si="0"/>
        <v>28.068186595011642</v>
      </c>
      <c r="E43" s="31">
        <f t="shared" si="1"/>
        <v>0.89</v>
      </c>
      <c r="F43" s="16">
        <f t="shared" si="2"/>
        <v>28.068186595011642</v>
      </c>
      <c r="G43" s="31">
        <f t="shared" si="3"/>
        <v>1.4</v>
      </c>
      <c r="H43" s="16">
        <f t="shared" si="4"/>
        <v>15.769068371580008</v>
      </c>
      <c r="I43" s="31">
        <f t="shared" si="5"/>
        <v>1.91</v>
      </c>
      <c r="J43" s="16">
        <f t="shared" si="6"/>
        <v>5.6443801755600678</v>
      </c>
      <c r="K43" s="31">
        <f t="shared" si="7"/>
        <v>2.42</v>
      </c>
      <c r="L43" s="16">
        <f t="shared" si="8"/>
        <v>4.2128136611625058</v>
      </c>
      <c r="M43" s="31">
        <f t="shared" si="9"/>
        <v>2.93</v>
      </c>
      <c r="N43" s="16">
        <f t="shared" si="10"/>
        <v>51.354145539106383</v>
      </c>
      <c r="O43" s="31">
        <f t="shared" si="11"/>
        <v>0</v>
      </c>
      <c r="P43" s="25">
        <f t="shared" si="12"/>
        <v>0</v>
      </c>
      <c r="Q43" s="31">
        <f t="shared" si="14"/>
        <v>0</v>
      </c>
      <c r="R43" s="16">
        <f t="shared" si="13"/>
        <v>0</v>
      </c>
      <c r="S43" s="8"/>
      <c r="T43" s="8"/>
      <c r="W43" s="7"/>
      <c r="X43" s="7"/>
    </row>
    <row r="44" spans="1:24">
      <c r="A44">
        <v>0.9</v>
      </c>
      <c r="B44">
        <v>2.9867270000000001</v>
      </c>
      <c r="C44">
        <v>7.0031819999999998</v>
      </c>
      <c r="D44">
        <f t="shared" si="0"/>
        <v>28.469221925423128</v>
      </c>
      <c r="E44" s="31">
        <f t="shared" si="1"/>
        <v>0.9</v>
      </c>
      <c r="F44" s="16">
        <f t="shared" si="2"/>
        <v>28.469221925423128</v>
      </c>
      <c r="G44" s="31">
        <f t="shared" si="3"/>
        <v>1.41</v>
      </c>
      <c r="H44" s="16">
        <f t="shared" si="4"/>
        <v>15.453457960585434</v>
      </c>
      <c r="I44" s="31">
        <f t="shared" si="5"/>
        <v>1.92</v>
      </c>
      <c r="J44" s="16">
        <f t="shared" si="6"/>
        <v>5.5969154227996034</v>
      </c>
      <c r="K44" s="31">
        <f t="shared" si="7"/>
        <v>2.4300000000000002</v>
      </c>
      <c r="L44" s="16">
        <f t="shared" si="8"/>
        <v>4.3174700651561615</v>
      </c>
      <c r="M44" s="31">
        <f t="shared" si="9"/>
        <v>2.94</v>
      </c>
      <c r="N44" s="16">
        <f t="shared" si="10"/>
        <v>50.596272287156538</v>
      </c>
      <c r="O44" s="31">
        <f t="shared" si="11"/>
        <v>0</v>
      </c>
      <c r="P44" s="25">
        <f t="shared" si="12"/>
        <v>0</v>
      </c>
      <c r="Q44" s="31">
        <f t="shared" si="14"/>
        <v>0</v>
      </c>
      <c r="R44" s="16">
        <f t="shared" si="13"/>
        <v>0</v>
      </c>
      <c r="S44" s="8"/>
      <c r="T44" s="8"/>
      <c r="W44" s="7"/>
      <c r="X44" s="7"/>
    </row>
    <row r="45" spans="1:24">
      <c r="A45">
        <v>0.91</v>
      </c>
      <c r="B45">
        <v>3.5595910000000002</v>
      </c>
      <c r="C45">
        <v>8.4406359999999996</v>
      </c>
      <c r="D45">
        <f t="shared" si="0"/>
        <v>28.844236293128585</v>
      </c>
      <c r="E45" s="31">
        <f t="shared" si="1"/>
        <v>0.91</v>
      </c>
      <c r="F45" s="16">
        <f t="shared" si="2"/>
        <v>28.844236293128585</v>
      </c>
      <c r="G45" s="31">
        <f t="shared" si="3"/>
        <v>1.42</v>
      </c>
      <c r="H45" s="16">
        <f t="shared" si="4"/>
        <v>15.175159886724586</v>
      </c>
      <c r="I45" s="31">
        <f t="shared" si="5"/>
        <v>1.93</v>
      </c>
      <c r="J45" s="16">
        <f t="shared" si="6"/>
        <v>5.5874965404957235</v>
      </c>
      <c r="K45" s="31">
        <f t="shared" si="7"/>
        <v>2.44</v>
      </c>
      <c r="L45" s="16">
        <f t="shared" si="8"/>
        <v>4.2970414471739655</v>
      </c>
      <c r="M45" s="31">
        <f t="shared" si="9"/>
        <v>2.95</v>
      </c>
      <c r="N45" s="16">
        <f t="shared" si="10"/>
        <v>49.807868334553248</v>
      </c>
      <c r="O45" s="31">
        <f t="shared" si="11"/>
        <v>0</v>
      </c>
      <c r="P45" s="25">
        <f t="shared" si="12"/>
        <v>0</v>
      </c>
      <c r="Q45" s="31">
        <f t="shared" si="14"/>
        <v>0</v>
      </c>
      <c r="R45" s="16">
        <f t="shared" si="13"/>
        <v>0</v>
      </c>
      <c r="S45" s="8"/>
      <c r="T45" s="8"/>
      <c r="W45" s="7"/>
      <c r="X45" s="7"/>
    </row>
    <row r="46" spans="1:24">
      <c r="A46">
        <v>0.92</v>
      </c>
      <c r="B46">
        <v>4.1731360000000004</v>
      </c>
      <c r="C46">
        <v>9.9805449999999993</v>
      </c>
      <c r="D46">
        <f t="shared" si="0"/>
        <v>29.130132214073456</v>
      </c>
      <c r="E46" s="31">
        <f t="shared" si="1"/>
        <v>0.92</v>
      </c>
      <c r="F46" s="16">
        <f t="shared" si="2"/>
        <v>29.130132214073456</v>
      </c>
      <c r="G46" s="31">
        <f t="shared" si="3"/>
        <v>1.43</v>
      </c>
      <c r="H46" s="16">
        <f t="shared" si="4"/>
        <v>14.94213979640346</v>
      </c>
      <c r="I46" s="31">
        <f t="shared" si="5"/>
        <v>1.94</v>
      </c>
      <c r="J46" s="16">
        <f t="shared" si="6"/>
        <v>5.5804664361473746</v>
      </c>
      <c r="K46" s="31">
        <f t="shared" si="7"/>
        <v>2.4500000000000002</v>
      </c>
      <c r="L46" s="16">
        <f t="shared" si="8"/>
        <v>4.2620962888374283</v>
      </c>
      <c r="M46" s="31">
        <f t="shared" si="9"/>
        <v>2.96</v>
      </c>
      <c r="N46" s="16">
        <f t="shared" si="10"/>
        <v>48.88182221615903</v>
      </c>
      <c r="O46" s="31">
        <f t="shared" si="11"/>
        <v>0</v>
      </c>
      <c r="P46" s="25">
        <f t="shared" si="12"/>
        <v>0</v>
      </c>
      <c r="Q46" s="31">
        <f t="shared" si="14"/>
        <v>0</v>
      </c>
      <c r="R46" s="16">
        <f t="shared" si="13"/>
        <v>0</v>
      </c>
      <c r="S46" s="8"/>
      <c r="T46" s="8"/>
      <c r="W46" s="7"/>
      <c r="X46" s="7"/>
    </row>
    <row r="47" spans="1:24">
      <c r="A47">
        <v>0.93</v>
      </c>
      <c r="B47">
        <v>5.103364</v>
      </c>
      <c r="C47">
        <v>12.245091</v>
      </c>
      <c r="D47">
        <f t="shared" si="0"/>
        <v>29.238882403436868</v>
      </c>
      <c r="E47" s="31">
        <f t="shared" si="1"/>
        <v>0.93</v>
      </c>
      <c r="F47" s="16">
        <f t="shared" si="2"/>
        <v>29.238882403436868</v>
      </c>
      <c r="G47" s="31">
        <f t="shared" si="3"/>
        <v>1.44</v>
      </c>
      <c r="H47" s="16">
        <f t="shared" si="4"/>
        <v>14.685527084422905</v>
      </c>
      <c r="I47" s="31">
        <f t="shared" si="5"/>
        <v>1.95</v>
      </c>
      <c r="J47" s="16">
        <f t="shared" si="6"/>
        <v>5.5537518141118252</v>
      </c>
      <c r="K47" s="31">
        <f t="shared" si="7"/>
        <v>2.46</v>
      </c>
      <c r="L47" s="16">
        <f t="shared" si="8"/>
        <v>4.2623412036989574</v>
      </c>
      <c r="M47" s="31">
        <f t="shared" si="9"/>
        <v>2.97</v>
      </c>
      <c r="N47" s="16">
        <f t="shared" si="10"/>
        <v>48.000077086693295</v>
      </c>
      <c r="O47" s="31">
        <f t="shared" si="11"/>
        <v>0</v>
      </c>
      <c r="P47" s="25">
        <f t="shared" si="12"/>
        <v>0</v>
      </c>
      <c r="Q47" s="31">
        <f t="shared" si="14"/>
        <v>0</v>
      </c>
      <c r="R47" s="16">
        <f t="shared" si="13"/>
        <v>0</v>
      </c>
      <c r="S47" s="8"/>
      <c r="T47" s="8"/>
      <c r="W47" s="7"/>
      <c r="X47" s="7"/>
    </row>
    <row r="48" spans="1:24">
      <c r="A48">
        <v>0.94</v>
      </c>
      <c r="B48">
        <v>6.2016359999999997</v>
      </c>
      <c r="C48">
        <v>14.932</v>
      </c>
      <c r="D48">
        <f t="shared" si="0"/>
        <v>29.354746859048674</v>
      </c>
      <c r="E48" s="31">
        <f t="shared" si="1"/>
        <v>0.94</v>
      </c>
      <c r="F48" s="16">
        <f t="shared" si="2"/>
        <v>29.354746859048674</v>
      </c>
      <c r="G48" s="31">
        <f t="shared" si="3"/>
        <v>1.45</v>
      </c>
      <c r="H48" s="16">
        <f t="shared" si="4"/>
        <v>14.3754024506857</v>
      </c>
      <c r="I48" s="31">
        <f t="shared" si="5"/>
        <v>1.96</v>
      </c>
      <c r="J48" s="16">
        <f t="shared" si="6"/>
        <v>5.4506240614337953</v>
      </c>
      <c r="K48" s="31">
        <f t="shared" si="7"/>
        <v>2.4700000000000002</v>
      </c>
      <c r="L48" s="16">
        <f t="shared" si="8"/>
        <v>4.2295827728318471</v>
      </c>
      <c r="M48" s="31">
        <f t="shared" si="9"/>
        <v>2.98</v>
      </c>
      <c r="N48" s="16">
        <f t="shared" si="10"/>
        <v>46.831232529887728</v>
      </c>
      <c r="O48" s="31">
        <f t="shared" si="11"/>
        <v>0</v>
      </c>
      <c r="P48" s="25">
        <f t="shared" si="12"/>
        <v>0</v>
      </c>
      <c r="Q48" s="31">
        <f t="shared" si="14"/>
        <v>0</v>
      </c>
      <c r="R48" s="16">
        <f t="shared" si="13"/>
        <v>0</v>
      </c>
      <c r="S48" s="8"/>
      <c r="T48" s="8"/>
      <c r="W48" s="7"/>
      <c r="X48" s="7"/>
    </row>
    <row r="49" spans="1:24">
      <c r="A49">
        <v>0.95</v>
      </c>
      <c r="B49">
        <v>7.3664550000000002</v>
      </c>
      <c r="C49">
        <v>17.753817999999999</v>
      </c>
      <c r="D49">
        <f t="shared" si="0"/>
        <v>29.387171022155602</v>
      </c>
      <c r="E49" s="31">
        <f t="shared" si="1"/>
        <v>0.95</v>
      </c>
      <c r="F49" s="16">
        <f t="shared" si="2"/>
        <v>29.387171022155602</v>
      </c>
      <c r="G49" s="31">
        <f t="shared" si="3"/>
        <v>1.46</v>
      </c>
      <c r="H49" s="16">
        <f t="shared" si="4"/>
        <v>14.009598455286511</v>
      </c>
      <c r="I49" s="31">
        <f t="shared" si="5"/>
        <v>1.97</v>
      </c>
      <c r="J49" s="16">
        <f t="shared" si="6"/>
        <v>5.3430679215674211</v>
      </c>
      <c r="K49" s="31">
        <f t="shared" si="7"/>
        <v>2.48</v>
      </c>
      <c r="L49" s="16">
        <f t="shared" si="8"/>
        <v>4.1984610262003841</v>
      </c>
      <c r="M49" s="31">
        <f t="shared" si="9"/>
        <v>2.99</v>
      </c>
      <c r="N49" s="16">
        <f t="shared" si="10"/>
        <v>45.668788644197392</v>
      </c>
      <c r="O49" s="31">
        <f t="shared" si="11"/>
        <v>0</v>
      </c>
      <c r="P49" s="25">
        <f t="shared" si="12"/>
        <v>0</v>
      </c>
      <c r="Q49" s="31">
        <f t="shared" si="14"/>
        <v>0</v>
      </c>
      <c r="R49" s="16">
        <f t="shared" si="13"/>
        <v>0</v>
      </c>
      <c r="S49" s="8"/>
      <c r="T49" s="8"/>
      <c r="W49" s="7"/>
      <c r="X49" s="7"/>
    </row>
    <row r="50" spans="1:24">
      <c r="A50">
        <v>0.96</v>
      </c>
      <c r="B50">
        <v>8.5825449999999996</v>
      </c>
      <c r="C50">
        <v>20.657091000000001</v>
      </c>
      <c r="D50">
        <f t="shared" si="0"/>
        <v>29.342544115766522</v>
      </c>
      <c r="E50" s="31">
        <f t="shared" si="1"/>
        <v>0.96</v>
      </c>
      <c r="F50" s="16">
        <f t="shared" si="2"/>
        <v>29.342544115766522</v>
      </c>
      <c r="G50" s="31">
        <f t="shared" si="3"/>
        <v>1.47</v>
      </c>
      <c r="H50" s="16">
        <f t="shared" si="4"/>
        <v>13.728695536190701</v>
      </c>
      <c r="I50" s="31">
        <f t="shared" si="5"/>
        <v>1.98</v>
      </c>
      <c r="J50" s="16">
        <f t="shared" si="6"/>
        <v>5.1918463210904271</v>
      </c>
      <c r="K50" s="31">
        <f t="shared" si="7"/>
        <v>2.4900000000000002</v>
      </c>
      <c r="L50" s="16">
        <f t="shared" si="8"/>
        <v>4.1452013600915985</v>
      </c>
      <c r="M50" s="31">
        <f t="shared" si="9"/>
        <v>3</v>
      </c>
      <c r="N50" s="16">
        <f t="shared" si="10"/>
        <v>44.397119958087032</v>
      </c>
      <c r="O50" s="31">
        <f t="shared" si="11"/>
        <v>0</v>
      </c>
      <c r="P50" s="25">
        <f t="shared" si="12"/>
        <v>0</v>
      </c>
      <c r="Q50" s="31">
        <f t="shared" si="14"/>
        <v>0</v>
      </c>
      <c r="R50" s="16">
        <f t="shared" si="13"/>
        <v>0</v>
      </c>
      <c r="S50" s="8"/>
      <c r="T50" s="8"/>
      <c r="W50" s="7"/>
      <c r="X50" s="7"/>
    </row>
    <row r="51" spans="1:24">
      <c r="A51">
        <v>0.97</v>
      </c>
      <c r="B51">
        <v>9.8295449999999995</v>
      </c>
      <c r="C51">
        <v>23.600545</v>
      </c>
      <c r="D51">
        <f t="shared" si="0"/>
        <v>29.260662836984906</v>
      </c>
      <c r="E51" s="31">
        <f t="shared" si="1"/>
        <v>0.97</v>
      </c>
      <c r="F51" s="16">
        <f t="shared" si="2"/>
        <v>29.260662836984906</v>
      </c>
      <c r="G51" s="31">
        <f t="shared" si="3"/>
        <v>1.48</v>
      </c>
      <c r="H51" s="16">
        <f t="shared" si="4"/>
        <v>13.494620990410787</v>
      </c>
      <c r="I51" s="31">
        <f t="shared" si="5"/>
        <v>1.99</v>
      </c>
      <c r="J51" s="16">
        <f t="shared" si="6"/>
        <v>5.1142896319312463</v>
      </c>
      <c r="K51" s="31">
        <f t="shared" si="7"/>
        <v>2.5</v>
      </c>
      <c r="L51" s="16">
        <f t="shared" si="8"/>
        <v>4.1224598031093489</v>
      </c>
      <c r="M51" s="31">
        <f t="shared" si="9"/>
        <v>0</v>
      </c>
      <c r="N51" s="16">
        <f t="shared" si="10"/>
        <v>0</v>
      </c>
      <c r="O51" s="31">
        <f t="shared" si="11"/>
        <v>0</v>
      </c>
      <c r="P51" s="25">
        <f t="shared" si="12"/>
        <v>0</v>
      </c>
      <c r="Q51" s="31">
        <f t="shared" si="14"/>
        <v>0</v>
      </c>
      <c r="R51" s="16">
        <f t="shared" si="13"/>
        <v>0</v>
      </c>
      <c r="S51" s="8"/>
      <c r="T51" s="8"/>
      <c r="W51" s="7"/>
      <c r="X51" s="7"/>
    </row>
    <row r="52" spans="1:24">
      <c r="A52">
        <v>0.98</v>
      </c>
      <c r="B52">
        <v>11.075455</v>
      </c>
      <c r="C52">
        <v>26.608181999999999</v>
      </c>
      <c r="D52">
        <f t="shared" si="0"/>
        <v>29.281048121936024</v>
      </c>
      <c r="E52" s="31">
        <f t="shared" si="1"/>
        <v>0.98</v>
      </c>
      <c r="F52" s="16">
        <f t="shared" si="2"/>
        <v>29.281048121936024</v>
      </c>
      <c r="G52" s="31">
        <f t="shared" si="3"/>
        <v>1.49</v>
      </c>
      <c r="H52" s="16">
        <f t="shared" si="4"/>
        <v>13.273002276440906</v>
      </c>
      <c r="I52" s="31">
        <f t="shared" si="5"/>
        <v>2</v>
      </c>
      <c r="J52" s="16">
        <f t="shared" si="6"/>
        <v>5.0576754702451412</v>
      </c>
      <c r="K52" s="31">
        <f t="shared" si="7"/>
        <v>2.5099999999999998</v>
      </c>
      <c r="L52" s="16">
        <f t="shared" si="8"/>
        <v>4.0356228230340037</v>
      </c>
      <c r="M52" s="31">
        <f t="shared" si="9"/>
        <v>0</v>
      </c>
      <c r="N52" s="16">
        <f t="shared" si="10"/>
        <v>0</v>
      </c>
      <c r="O52" s="31">
        <f t="shared" si="11"/>
        <v>0</v>
      </c>
      <c r="P52" s="25">
        <f t="shared" si="12"/>
        <v>0</v>
      </c>
      <c r="Q52" s="31">
        <f t="shared" si="14"/>
        <v>0</v>
      </c>
      <c r="R52" s="16">
        <f t="shared" si="13"/>
        <v>0</v>
      </c>
      <c r="S52" s="8"/>
      <c r="T52" s="8"/>
      <c r="W52" s="7"/>
      <c r="X52" s="7"/>
    </row>
    <row r="53" spans="1:24">
      <c r="A53">
        <v>0.99</v>
      </c>
      <c r="B53">
        <v>12.493273</v>
      </c>
      <c r="C53">
        <v>29.669</v>
      </c>
      <c r="D53">
        <f t="shared" si="0"/>
        <v>28.894359876710769</v>
      </c>
      <c r="E53" s="31">
        <f t="shared" si="1"/>
        <v>0.99</v>
      </c>
      <c r="F53" s="16">
        <f t="shared" si="2"/>
        <v>28.894359876710769</v>
      </c>
      <c r="G53" s="31">
        <f t="shared" si="3"/>
        <v>1.5</v>
      </c>
      <c r="H53" s="16">
        <f t="shared" si="4"/>
        <v>13.016943962857184</v>
      </c>
      <c r="I53" s="31">
        <f t="shared" si="5"/>
        <v>2.0099999999999998</v>
      </c>
      <c r="J53" s="16">
        <f t="shared" si="6"/>
        <v>4.9870030624773563</v>
      </c>
      <c r="K53" s="31">
        <f t="shared" si="7"/>
        <v>2.52</v>
      </c>
      <c r="L53" s="16">
        <f t="shared" si="8"/>
        <v>4.007071526575209</v>
      </c>
      <c r="M53" s="31">
        <f t="shared" si="9"/>
        <v>0</v>
      </c>
      <c r="N53" s="16">
        <f t="shared" si="10"/>
        <v>0</v>
      </c>
      <c r="O53" s="31">
        <f t="shared" si="11"/>
        <v>0</v>
      </c>
      <c r="P53" s="25">
        <f t="shared" si="12"/>
        <v>0</v>
      </c>
      <c r="Q53" s="31">
        <f t="shared" si="14"/>
        <v>0</v>
      </c>
      <c r="R53" s="16">
        <f t="shared" si="13"/>
        <v>0</v>
      </c>
      <c r="S53" s="8"/>
      <c r="T53" s="8"/>
      <c r="W53" s="7"/>
      <c r="X53" s="7"/>
    </row>
    <row r="54" spans="1:24" ht="13.5" thickBot="1">
      <c r="A54">
        <v>1</v>
      </c>
      <c r="B54">
        <v>13.914545</v>
      </c>
      <c r="C54">
        <v>32.761364</v>
      </c>
      <c r="D54">
        <f t="shared" si="0"/>
        <v>28.607151185413098</v>
      </c>
      <c r="E54" s="32">
        <f t="shared" si="1"/>
        <v>1</v>
      </c>
      <c r="F54" s="17">
        <f t="shared" si="2"/>
        <v>28.607151185413098</v>
      </c>
      <c r="G54" s="32">
        <f t="shared" si="3"/>
        <v>1.51</v>
      </c>
      <c r="H54" s="17">
        <f t="shared" si="4"/>
        <v>12.751185272202251</v>
      </c>
      <c r="I54" s="32">
        <f t="shared" si="5"/>
        <v>2.02</v>
      </c>
      <c r="J54" s="17">
        <f t="shared" si="6"/>
        <v>4.8671897570127669</v>
      </c>
      <c r="K54" s="32">
        <f t="shared" si="7"/>
        <v>2.5299999999999998</v>
      </c>
      <c r="L54" s="17">
        <f t="shared" si="8"/>
        <v>3.9729447612492925</v>
      </c>
      <c r="M54" s="32">
        <f t="shared" si="9"/>
        <v>0</v>
      </c>
      <c r="N54" s="17">
        <f t="shared" si="10"/>
        <v>0</v>
      </c>
      <c r="O54" s="32">
        <f t="shared" si="11"/>
        <v>0</v>
      </c>
      <c r="P54" s="26">
        <f>D309</f>
        <v>0</v>
      </c>
      <c r="Q54" s="32">
        <f t="shared" si="14"/>
        <v>0</v>
      </c>
      <c r="R54" s="17">
        <f t="shared" si="13"/>
        <v>0</v>
      </c>
      <c r="S54" s="8"/>
      <c r="T54" s="8"/>
      <c r="W54" s="7"/>
      <c r="X54" s="7"/>
    </row>
    <row r="55" spans="1:24">
      <c r="A55">
        <v>1.01</v>
      </c>
      <c r="B55">
        <v>15.389635999999999</v>
      </c>
      <c r="C55">
        <v>35.9</v>
      </c>
      <c r="D55">
        <f t="shared" si="0"/>
        <v>28.297392360047919</v>
      </c>
      <c r="R55" s="8"/>
      <c r="S55" s="8"/>
      <c r="T55" s="8"/>
      <c r="W55" s="7"/>
      <c r="X55" s="7"/>
    </row>
    <row r="56" spans="1:24">
      <c r="A56">
        <v>1.02</v>
      </c>
      <c r="B56">
        <v>16.889091000000001</v>
      </c>
      <c r="C56">
        <v>39.026364000000001</v>
      </c>
      <c r="D56">
        <f t="shared" si="0"/>
        <v>27.980908860596589</v>
      </c>
      <c r="R56" s="8"/>
      <c r="S56" s="8"/>
      <c r="T56" s="8"/>
      <c r="W56" s="7"/>
      <c r="X56" s="7"/>
    </row>
    <row r="57" spans="1:24">
      <c r="A57">
        <v>1.03</v>
      </c>
      <c r="B57">
        <v>18.4542</v>
      </c>
      <c r="C57">
        <v>42.220455000000001</v>
      </c>
      <c r="D57">
        <f t="shared" si="0"/>
        <v>27.648283558364458</v>
      </c>
      <c r="R57" s="8"/>
      <c r="S57" s="8"/>
      <c r="T57" s="8"/>
      <c r="W57" s="7"/>
      <c r="X57" s="7"/>
    </row>
    <row r="58" spans="1:24">
      <c r="A58">
        <v>1.04</v>
      </c>
      <c r="B58">
        <v>20.022545000000001</v>
      </c>
      <c r="C58">
        <v>45.414090999999999</v>
      </c>
      <c r="D58">
        <f t="shared" si="0"/>
        <v>27.359334419638714</v>
      </c>
      <c r="R58" s="8"/>
      <c r="S58" s="8"/>
      <c r="T58" s="8"/>
      <c r="W58" s="7"/>
      <c r="X58" s="7"/>
    </row>
    <row r="59" spans="1:24">
      <c r="A59">
        <v>1.05</v>
      </c>
      <c r="B59">
        <v>21.660727000000001</v>
      </c>
      <c r="C59">
        <v>48.624443999999997</v>
      </c>
      <c r="D59">
        <f t="shared" si="0"/>
        <v>27.013970739072825</v>
      </c>
      <c r="R59" s="8"/>
      <c r="S59" s="8"/>
      <c r="T59" s="8"/>
      <c r="W59" s="7"/>
      <c r="X59" s="7"/>
    </row>
    <row r="60" spans="1:24">
      <c r="A60">
        <v>1.06</v>
      </c>
      <c r="B60">
        <v>23.316727</v>
      </c>
      <c r="C60">
        <v>51.906818000000001</v>
      </c>
      <c r="D60">
        <f t="shared" si="0"/>
        <v>26.735139894975664</v>
      </c>
      <c r="R60" s="8"/>
      <c r="S60" s="8"/>
      <c r="T60" s="8"/>
      <c r="W60" s="7"/>
      <c r="X60" s="7"/>
    </row>
    <row r="61" spans="1:24">
      <c r="A61">
        <v>1.07</v>
      </c>
      <c r="B61">
        <v>25.060455000000001</v>
      </c>
      <c r="C61">
        <v>55.299545000000002</v>
      </c>
      <c r="D61">
        <f t="shared" si="0"/>
        <v>26.440969704570364</v>
      </c>
      <c r="R61" s="8"/>
      <c r="S61" s="8"/>
      <c r="T61" s="8"/>
      <c r="W61" s="7"/>
      <c r="X61" s="7"/>
    </row>
    <row r="62" spans="1:24">
      <c r="A62">
        <v>1.08</v>
      </c>
      <c r="B62">
        <v>26.944444000000001</v>
      </c>
      <c r="C62">
        <v>58.905000000000001</v>
      </c>
      <c r="D62">
        <f t="shared" si="0"/>
        <v>26.129456460827868</v>
      </c>
      <c r="R62" s="8"/>
      <c r="S62" s="8"/>
      <c r="T62" s="8"/>
      <c r="W62" s="7"/>
      <c r="X62" s="7"/>
    </row>
    <row r="63" spans="1:24">
      <c r="A63">
        <v>1.0900000000000001</v>
      </c>
      <c r="B63">
        <v>28.957273000000001</v>
      </c>
      <c r="C63">
        <v>62.743636000000002</v>
      </c>
      <c r="D63">
        <f t="shared" si="0"/>
        <v>25.831693997243658</v>
      </c>
      <c r="R63" s="8"/>
      <c r="S63" s="8"/>
      <c r="T63" s="8"/>
      <c r="W63" s="7"/>
      <c r="X63" s="7"/>
    </row>
    <row r="64" spans="1:24">
      <c r="A64">
        <v>1.1000000000000001</v>
      </c>
      <c r="B64">
        <v>31.115908999999998</v>
      </c>
      <c r="C64">
        <v>66.785454999999999</v>
      </c>
      <c r="D64">
        <f t="shared" si="0"/>
        <v>25.51533818486147</v>
      </c>
      <c r="R64" s="8"/>
      <c r="S64" s="8"/>
      <c r="T64" s="8"/>
      <c r="W64" s="7"/>
      <c r="X64" s="7"/>
    </row>
    <row r="65" spans="1:24">
      <c r="A65">
        <v>1.1100000000000001</v>
      </c>
      <c r="B65">
        <v>33.445</v>
      </c>
      <c r="C65">
        <v>70.97</v>
      </c>
      <c r="D65">
        <f t="shared" si="0"/>
        <v>25.134123456941136</v>
      </c>
      <c r="R65" s="8"/>
      <c r="S65" s="8"/>
      <c r="T65" s="8"/>
      <c r="W65" s="7"/>
      <c r="X65" s="7"/>
    </row>
    <row r="66" spans="1:24">
      <c r="A66">
        <v>1.1200000000000001</v>
      </c>
      <c r="B66">
        <v>35.752727</v>
      </c>
      <c r="C66">
        <v>75.180000000000007</v>
      </c>
      <c r="D66">
        <f t="shared" si="0"/>
        <v>24.830242203271034</v>
      </c>
      <c r="R66" s="8"/>
      <c r="S66" s="8"/>
      <c r="T66" s="8"/>
      <c r="W66" s="7"/>
      <c r="X66" s="7"/>
    </row>
    <row r="67" spans="1:24">
      <c r="A67">
        <v>1.1299999999999999</v>
      </c>
      <c r="B67">
        <v>38.043182000000002</v>
      </c>
      <c r="C67">
        <v>79.209999999999994</v>
      </c>
      <c r="D67">
        <f t="shared" si="0"/>
        <v>24.500244487348517</v>
      </c>
      <c r="R67" s="8"/>
      <c r="S67" s="8"/>
      <c r="T67" s="8"/>
      <c r="W67" s="7"/>
      <c r="X67" s="7"/>
    </row>
    <row r="68" spans="1:24">
      <c r="A68">
        <v>1.1399999999999999</v>
      </c>
      <c r="B68">
        <v>40.778635999999999</v>
      </c>
      <c r="C68">
        <v>83.94</v>
      </c>
      <c r="D68">
        <f t="shared" si="0"/>
        <v>24.11817460442979</v>
      </c>
      <c r="R68" s="8"/>
      <c r="S68" s="8"/>
      <c r="T68" s="8"/>
      <c r="W68" s="7"/>
      <c r="X68" s="7"/>
    </row>
    <row r="69" spans="1:24">
      <c r="A69">
        <v>1.1499999999999999</v>
      </c>
      <c r="B69">
        <v>43.455908999999998</v>
      </c>
      <c r="C69">
        <v>88.730908999999997</v>
      </c>
      <c r="D69">
        <f t="shared" ref="D69:D132" si="15">-10*LOG10(B69/C69)*(1000/$D$2)</f>
        <v>23.848160910270316</v>
      </c>
      <c r="R69" s="8"/>
      <c r="S69" s="8"/>
      <c r="T69" s="8"/>
      <c r="W69" s="7"/>
      <c r="X69" s="7"/>
    </row>
    <row r="70" spans="1:24">
      <c r="A70">
        <v>1.1599999999999999</v>
      </c>
      <c r="B70">
        <v>46.151817999999999</v>
      </c>
      <c r="C70">
        <v>93.354545000000002</v>
      </c>
      <c r="D70">
        <f t="shared" si="15"/>
        <v>23.53435794418677</v>
      </c>
      <c r="R70" s="8"/>
      <c r="S70" s="8"/>
      <c r="T70" s="8"/>
      <c r="W70" s="7"/>
      <c r="X70" s="7"/>
    </row>
    <row r="71" spans="1:24">
      <c r="A71">
        <v>1.17</v>
      </c>
      <c r="B71">
        <v>48.956499999999998</v>
      </c>
      <c r="C71">
        <v>97.777272999999994</v>
      </c>
      <c r="D71">
        <f t="shared" si="15"/>
        <v>23.109812231573144</v>
      </c>
      <c r="R71" s="8"/>
      <c r="S71" s="8"/>
      <c r="T71" s="8"/>
      <c r="W71" s="7"/>
      <c r="X71" s="7"/>
    </row>
    <row r="72" spans="1:24">
      <c r="A72">
        <v>1.18</v>
      </c>
      <c r="B72">
        <v>51.666817999999999</v>
      </c>
      <c r="C72">
        <v>102.197273</v>
      </c>
      <c r="D72">
        <f t="shared" si="15"/>
        <v>22.786737835704717</v>
      </c>
      <c r="R72" s="8"/>
      <c r="S72" s="8"/>
      <c r="T72" s="8"/>
      <c r="W72" s="7"/>
      <c r="X72" s="7"/>
    </row>
    <row r="73" spans="1:24">
      <c r="A73">
        <v>1.19</v>
      </c>
      <c r="B73">
        <v>54.311363999999998</v>
      </c>
      <c r="C73">
        <v>106.438182</v>
      </c>
      <c r="D73">
        <f t="shared" si="15"/>
        <v>22.477441388485246</v>
      </c>
      <c r="R73" s="8"/>
      <c r="S73" s="8"/>
      <c r="T73" s="8"/>
      <c r="W73" s="7"/>
      <c r="X73" s="7"/>
    </row>
    <row r="74" spans="1:24">
      <c r="A74">
        <v>1.2</v>
      </c>
      <c r="B74">
        <v>56.97</v>
      </c>
      <c r="C74">
        <v>110.521818</v>
      </c>
      <c r="D74">
        <f t="shared" si="15"/>
        <v>22.13860005085143</v>
      </c>
      <c r="R74" s="8"/>
      <c r="S74" s="8"/>
      <c r="T74" s="8"/>
      <c r="W74" s="7"/>
      <c r="X74" s="7"/>
    </row>
    <row r="75" spans="1:24">
      <c r="A75">
        <v>1.21</v>
      </c>
      <c r="B75">
        <v>59.649090999999999</v>
      </c>
      <c r="C75">
        <v>114.441818</v>
      </c>
      <c r="D75">
        <f t="shared" si="15"/>
        <v>21.767762962721935</v>
      </c>
      <c r="R75" s="8"/>
      <c r="S75" s="8"/>
      <c r="T75" s="8"/>
      <c r="W75" s="7"/>
      <c r="X75" s="7"/>
    </row>
    <row r="76" spans="1:24">
      <c r="A76">
        <v>1.22</v>
      </c>
      <c r="B76">
        <v>62.097273000000001</v>
      </c>
      <c r="C76">
        <v>118.063636</v>
      </c>
      <c r="D76">
        <f t="shared" si="15"/>
        <v>21.464894267046237</v>
      </c>
      <c r="R76" s="8"/>
      <c r="S76" s="8"/>
      <c r="T76" s="8"/>
      <c r="W76" s="7"/>
      <c r="X76" s="7"/>
    </row>
    <row r="77" spans="1:24">
      <c r="A77">
        <v>1.23</v>
      </c>
      <c r="B77">
        <v>64.450908999999996</v>
      </c>
      <c r="C77">
        <v>121.464</v>
      </c>
      <c r="D77">
        <f t="shared" si="15"/>
        <v>21.170656315666285</v>
      </c>
      <c r="R77" s="8"/>
      <c r="S77" s="8"/>
      <c r="T77" s="8"/>
      <c r="W77" s="7"/>
      <c r="X77" s="7"/>
    </row>
    <row r="78" spans="1:24">
      <c r="A78">
        <v>1.24</v>
      </c>
      <c r="B78">
        <v>66.779090999999994</v>
      </c>
      <c r="C78">
        <v>124.5</v>
      </c>
      <c r="D78">
        <f t="shared" si="15"/>
        <v>20.809911408404112</v>
      </c>
      <c r="R78" s="8"/>
      <c r="S78" s="8"/>
      <c r="T78" s="8"/>
      <c r="W78" s="7"/>
      <c r="X78" s="7"/>
    </row>
    <row r="79" spans="1:24">
      <c r="A79">
        <v>1.25</v>
      </c>
      <c r="B79">
        <v>69.066363999999993</v>
      </c>
      <c r="C79">
        <v>127.338182</v>
      </c>
      <c r="D79">
        <f t="shared" si="15"/>
        <v>20.437850154417259</v>
      </c>
      <c r="R79" s="8"/>
      <c r="S79" s="8"/>
      <c r="T79" s="8"/>
      <c r="W79" s="7"/>
      <c r="X79" s="7"/>
    </row>
    <row r="80" spans="1:24">
      <c r="A80">
        <v>1.26</v>
      </c>
      <c r="B80">
        <v>71.079091000000005</v>
      </c>
      <c r="C80">
        <v>129.97636399999999</v>
      </c>
      <c r="D80">
        <f t="shared" si="15"/>
        <v>20.163270657425414</v>
      </c>
      <c r="R80" s="8"/>
      <c r="S80" s="8"/>
      <c r="T80" s="8"/>
      <c r="W80" s="7"/>
      <c r="X80" s="7"/>
    </row>
    <row r="81" spans="1:24">
      <c r="A81">
        <v>1.27</v>
      </c>
      <c r="B81">
        <v>73.053635999999997</v>
      </c>
      <c r="C81">
        <v>132.14727300000001</v>
      </c>
      <c r="D81">
        <f t="shared" si="15"/>
        <v>19.801259159147268</v>
      </c>
      <c r="R81" s="8"/>
      <c r="S81" s="8"/>
      <c r="T81" s="8"/>
      <c r="W81" s="7"/>
      <c r="X81" s="7"/>
    </row>
    <row r="82" spans="1:24">
      <c r="A82">
        <v>1.28</v>
      </c>
      <c r="B82">
        <v>74.9375</v>
      </c>
      <c r="C82">
        <v>134.134545</v>
      </c>
      <c r="D82">
        <f t="shared" si="15"/>
        <v>19.449341536922706</v>
      </c>
      <c r="R82" s="8"/>
      <c r="S82" s="8"/>
      <c r="T82" s="8"/>
      <c r="W82" s="7"/>
      <c r="X82" s="7"/>
    </row>
    <row r="83" spans="1:24">
      <c r="A83">
        <v>1.29</v>
      </c>
      <c r="B83">
        <v>76.699090999999996</v>
      </c>
      <c r="C83">
        <v>136.081818</v>
      </c>
      <c r="D83">
        <f t="shared" si="15"/>
        <v>19.154606593368086</v>
      </c>
      <c r="R83" s="8"/>
      <c r="S83" s="8"/>
      <c r="T83" s="8"/>
      <c r="W83" s="7"/>
      <c r="X83" s="7"/>
    </row>
    <row r="84" spans="1:24">
      <c r="A84">
        <v>1.3</v>
      </c>
      <c r="B84">
        <v>78.8</v>
      </c>
      <c r="C84">
        <v>138.432727</v>
      </c>
      <c r="D84">
        <f t="shared" si="15"/>
        <v>18.824042823177248</v>
      </c>
      <c r="R84" s="8"/>
      <c r="S84" s="8"/>
      <c r="T84" s="8"/>
      <c r="W84" s="7"/>
      <c r="X84" s="7"/>
    </row>
    <row r="85" spans="1:24">
      <c r="A85">
        <v>1.31</v>
      </c>
      <c r="B85">
        <v>78.310908999999995</v>
      </c>
      <c r="C85">
        <v>136.298</v>
      </c>
      <c r="D85">
        <f t="shared" si="15"/>
        <v>18.512862927518814</v>
      </c>
      <c r="R85" s="8"/>
      <c r="S85" s="8"/>
      <c r="T85" s="8"/>
      <c r="W85" s="7"/>
      <c r="X85" s="7"/>
    </row>
    <row r="86" spans="1:24">
      <c r="A86">
        <v>1.32</v>
      </c>
      <c r="B86">
        <v>79.134545000000003</v>
      </c>
      <c r="C86">
        <v>136.41636399999999</v>
      </c>
      <c r="D86">
        <f t="shared" si="15"/>
        <v>18.19233539676857</v>
      </c>
      <c r="R86" s="8"/>
      <c r="S86" s="8"/>
      <c r="T86" s="8"/>
      <c r="W86" s="7"/>
      <c r="X86" s="7"/>
    </row>
    <row r="87" spans="1:24">
      <c r="A87">
        <v>1.33</v>
      </c>
      <c r="B87">
        <v>81.891818000000001</v>
      </c>
      <c r="C87">
        <v>139.74909099999999</v>
      </c>
      <c r="D87">
        <f t="shared" si="15"/>
        <v>17.854498394313801</v>
      </c>
      <c r="R87" s="8"/>
      <c r="S87" s="8"/>
      <c r="T87" s="8"/>
      <c r="W87" s="7"/>
      <c r="X87" s="7"/>
    </row>
    <row r="88" spans="1:24">
      <c r="A88">
        <v>1.34</v>
      </c>
      <c r="B88">
        <v>85.196667000000005</v>
      </c>
      <c r="C88">
        <v>144.294545</v>
      </c>
      <c r="D88">
        <f t="shared" si="15"/>
        <v>17.602100623901542</v>
      </c>
      <c r="R88" s="8"/>
      <c r="S88" s="8"/>
      <c r="T88" s="8"/>
      <c r="W88" s="7"/>
      <c r="X88" s="7"/>
    </row>
    <row r="89" spans="1:24">
      <c r="A89">
        <v>1.35</v>
      </c>
      <c r="B89">
        <v>88.062726999999995</v>
      </c>
      <c r="C89">
        <v>147.929091</v>
      </c>
      <c r="D89">
        <f t="shared" si="15"/>
        <v>17.327804511645269</v>
      </c>
      <c r="R89" s="8"/>
      <c r="S89" s="8"/>
      <c r="T89" s="8"/>
      <c r="W89" s="7"/>
      <c r="X89" s="7"/>
    </row>
    <row r="90" spans="1:24">
      <c r="A90">
        <v>1.36</v>
      </c>
      <c r="B90">
        <v>85.933636000000007</v>
      </c>
      <c r="C90">
        <v>142.81399999999999</v>
      </c>
      <c r="D90">
        <f t="shared" si="15"/>
        <v>16.969815024268211</v>
      </c>
      <c r="R90" s="8"/>
      <c r="S90" s="8"/>
      <c r="T90" s="8"/>
      <c r="W90" s="7"/>
      <c r="X90" s="7"/>
    </row>
    <row r="91" spans="1:24">
      <c r="A91">
        <v>1.37</v>
      </c>
      <c r="B91">
        <v>86.182727</v>
      </c>
      <c r="C91">
        <v>141.77454499999999</v>
      </c>
      <c r="D91">
        <f t="shared" si="15"/>
        <v>16.629079247937081</v>
      </c>
      <c r="R91" s="8"/>
      <c r="S91" s="8"/>
      <c r="T91" s="8"/>
      <c r="W91" s="7"/>
      <c r="X91" s="7"/>
    </row>
    <row r="92" spans="1:24">
      <c r="A92">
        <v>1.38</v>
      </c>
      <c r="B92">
        <v>93.259090999999998</v>
      </c>
      <c r="C92">
        <v>152.16</v>
      </c>
      <c r="D92">
        <f t="shared" si="15"/>
        <v>16.354563195346284</v>
      </c>
      <c r="R92" s="8"/>
      <c r="S92" s="8"/>
      <c r="T92" s="8"/>
      <c r="W92" s="7"/>
      <c r="X92" s="7"/>
    </row>
    <row r="93" spans="1:24">
      <c r="A93">
        <v>1.39</v>
      </c>
      <c r="B93">
        <v>93.928182000000007</v>
      </c>
      <c r="C93">
        <v>152.02909099999999</v>
      </c>
      <c r="D93">
        <f t="shared" si="15"/>
        <v>16.086983250546314</v>
      </c>
      <c r="R93" s="8"/>
      <c r="S93" s="8"/>
      <c r="T93" s="8"/>
      <c r="W93" s="7"/>
      <c r="X93" s="7"/>
    </row>
    <row r="94" spans="1:24">
      <c r="A94">
        <v>1.4</v>
      </c>
      <c r="B94">
        <v>98.501818</v>
      </c>
      <c r="C94">
        <v>157.921818</v>
      </c>
      <c r="D94">
        <f t="shared" si="15"/>
        <v>15.769068371580008</v>
      </c>
      <c r="R94" s="8"/>
      <c r="S94" s="8"/>
      <c r="T94" s="8"/>
      <c r="W94" s="7"/>
      <c r="X94" s="7"/>
    </row>
    <row r="95" spans="1:24">
      <c r="A95">
        <v>1.41</v>
      </c>
      <c r="B95">
        <v>102.340909</v>
      </c>
      <c r="C95">
        <v>162.53399999999999</v>
      </c>
      <c r="D95">
        <f t="shared" si="15"/>
        <v>15.453457960585434</v>
      </c>
      <c r="R95" s="8"/>
      <c r="S95" s="8"/>
      <c r="T95" s="8"/>
      <c r="W95" s="7"/>
      <c r="X95" s="7"/>
    </row>
    <row r="96" spans="1:24">
      <c r="A96">
        <v>1.42</v>
      </c>
      <c r="B96">
        <v>102.726364</v>
      </c>
      <c r="C96">
        <v>161.79272700000001</v>
      </c>
      <c r="D96">
        <f t="shared" si="15"/>
        <v>15.175159886724586</v>
      </c>
      <c r="R96" s="8"/>
      <c r="S96" s="8"/>
      <c r="T96" s="8"/>
      <c r="W96" s="7"/>
      <c r="X96" s="7"/>
    </row>
    <row r="97" spans="1:24">
      <c r="A97">
        <v>1.43</v>
      </c>
      <c r="B97">
        <v>107.81636399999999</v>
      </c>
      <c r="C97">
        <v>168.62909099999999</v>
      </c>
      <c r="D97">
        <f t="shared" si="15"/>
        <v>14.94213979640346</v>
      </c>
      <c r="R97" s="8"/>
      <c r="S97" s="8"/>
      <c r="T97" s="8"/>
      <c r="W97" s="7"/>
      <c r="X97" s="7"/>
    </row>
    <row r="98" spans="1:24">
      <c r="A98">
        <v>1.44</v>
      </c>
      <c r="B98">
        <v>110.17272699999999</v>
      </c>
      <c r="C98">
        <v>170.99600000000001</v>
      </c>
      <c r="D98">
        <f t="shared" si="15"/>
        <v>14.685527084422905</v>
      </c>
      <c r="R98" s="8"/>
      <c r="S98" s="8"/>
      <c r="T98" s="8"/>
      <c r="W98" s="7"/>
      <c r="X98" s="7"/>
    </row>
    <row r="99" spans="1:24">
      <c r="A99">
        <v>1.45</v>
      </c>
      <c r="B99">
        <v>111.655455</v>
      </c>
      <c r="C99">
        <v>171.696</v>
      </c>
      <c r="D99">
        <f t="shared" si="15"/>
        <v>14.3754024506857</v>
      </c>
      <c r="R99" s="8"/>
      <c r="S99" s="8"/>
      <c r="T99" s="8"/>
      <c r="W99" s="7"/>
      <c r="X99" s="7"/>
    </row>
    <row r="100" spans="1:24">
      <c r="A100">
        <v>1.46</v>
      </c>
      <c r="B100">
        <v>113.02727299999999</v>
      </c>
      <c r="C100">
        <v>171.91272699999999</v>
      </c>
      <c r="D100">
        <f t="shared" si="15"/>
        <v>14.009598455286511</v>
      </c>
      <c r="R100" s="8"/>
      <c r="S100" s="8"/>
      <c r="T100" s="8"/>
      <c r="W100" s="7"/>
      <c r="X100" s="7"/>
    </row>
    <row r="101" spans="1:24">
      <c r="A101">
        <v>1.47</v>
      </c>
      <c r="B101">
        <v>112.906364</v>
      </c>
      <c r="C101">
        <v>170.290909</v>
      </c>
      <c r="D101">
        <f t="shared" si="15"/>
        <v>13.728695536190701</v>
      </c>
      <c r="R101" s="8"/>
      <c r="S101" s="8"/>
      <c r="T101" s="8"/>
      <c r="W101" s="7"/>
      <c r="X101" s="7"/>
    </row>
    <row r="102" spans="1:24">
      <c r="A102">
        <v>1.48</v>
      </c>
      <c r="B102">
        <v>112.544545</v>
      </c>
      <c r="C102">
        <v>168.56</v>
      </c>
      <c r="D102">
        <f t="shared" si="15"/>
        <v>13.494620990410787</v>
      </c>
      <c r="R102" s="8"/>
      <c r="S102" s="8"/>
      <c r="T102" s="8"/>
      <c r="W102" s="7"/>
      <c r="X102" s="7"/>
    </row>
    <row r="103" spans="1:24">
      <c r="A103">
        <v>1.49</v>
      </c>
      <c r="B103">
        <v>112.473636</v>
      </c>
      <c r="C103">
        <v>167.34</v>
      </c>
      <c r="D103">
        <f t="shared" si="15"/>
        <v>13.273002276440906</v>
      </c>
      <c r="R103" s="8"/>
      <c r="S103" s="8"/>
      <c r="T103" s="8"/>
      <c r="W103" s="7"/>
      <c r="X103" s="7"/>
    </row>
    <row r="104" spans="1:24">
      <c r="A104">
        <v>1.5</v>
      </c>
      <c r="B104">
        <v>112.512727</v>
      </c>
      <c r="C104">
        <v>166.12</v>
      </c>
      <c r="D104">
        <f t="shared" si="15"/>
        <v>13.016943962857184</v>
      </c>
      <c r="R104" s="8"/>
      <c r="S104" s="8"/>
      <c r="T104" s="8"/>
      <c r="W104" s="7"/>
      <c r="X104" s="7"/>
    </row>
    <row r="105" spans="1:24">
      <c r="A105">
        <v>1.51</v>
      </c>
      <c r="B105">
        <v>112.376364</v>
      </c>
      <c r="C105">
        <v>164.60400000000001</v>
      </c>
      <c r="D105">
        <f t="shared" si="15"/>
        <v>12.751185272202251</v>
      </c>
      <c r="R105" s="8"/>
      <c r="S105" s="8"/>
      <c r="T105" s="8"/>
      <c r="W105" s="7"/>
      <c r="X105" s="7"/>
    </row>
    <row r="106" spans="1:24">
      <c r="A106">
        <v>1.52</v>
      </c>
      <c r="B106">
        <v>112.179091</v>
      </c>
      <c r="C106">
        <v>163.06909099999999</v>
      </c>
      <c r="D106">
        <f t="shared" si="15"/>
        <v>12.496902596861418</v>
      </c>
      <c r="R106" s="8"/>
      <c r="S106" s="8"/>
      <c r="T106" s="8"/>
      <c r="W106" s="7"/>
      <c r="X106" s="7"/>
    </row>
    <row r="107" spans="1:24">
      <c r="A107">
        <v>1.53</v>
      </c>
      <c r="B107">
        <v>112.015455</v>
      </c>
      <c r="C107">
        <v>161.60545500000001</v>
      </c>
      <c r="D107">
        <f t="shared" si="15"/>
        <v>12.244466847749973</v>
      </c>
      <c r="R107" s="8"/>
      <c r="S107" s="8"/>
      <c r="T107" s="8"/>
      <c r="W107" s="7"/>
      <c r="X107" s="7"/>
    </row>
    <row r="108" spans="1:24">
      <c r="A108">
        <v>1.54</v>
      </c>
      <c r="B108">
        <v>111.76</v>
      </c>
      <c r="C108">
        <v>160.163636</v>
      </c>
      <c r="D108">
        <f t="shared" si="15"/>
        <v>12.021348184601679</v>
      </c>
      <c r="R108" s="8"/>
      <c r="S108" s="8"/>
      <c r="T108" s="8"/>
      <c r="W108" s="7"/>
      <c r="X108" s="7"/>
    </row>
    <row r="109" spans="1:24">
      <c r="A109">
        <v>1.55</v>
      </c>
      <c r="B109">
        <v>111.412727</v>
      </c>
      <c r="C109">
        <v>158.272727</v>
      </c>
      <c r="D109">
        <f t="shared" si="15"/>
        <v>11.728560062833594</v>
      </c>
      <c r="R109" s="8"/>
      <c r="S109" s="8"/>
      <c r="T109" s="8"/>
      <c r="W109" s="7"/>
      <c r="X109" s="7"/>
    </row>
    <row r="110" spans="1:24">
      <c r="A110">
        <v>1.56</v>
      </c>
      <c r="B110">
        <v>110.79181800000001</v>
      </c>
      <c r="C110">
        <v>155.79272700000001</v>
      </c>
      <c r="D110">
        <f t="shared" si="15"/>
        <v>11.387653111475254</v>
      </c>
      <c r="R110" s="8"/>
      <c r="S110" s="8"/>
      <c r="T110" s="8"/>
      <c r="W110" s="7"/>
      <c r="X110" s="7"/>
    </row>
    <row r="111" spans="1:24">
      <c r="A111">
        <v>1.57</v>
      </c>
      <c r="B111">
        <v>110.03636400000001</v>
      </c>
      <c r="C111">
        <v>153.24545499999999</v>
      </c>
      <c r="D111">
        <f t="shared" si="15"/>
        <v>11.065490127107278</v>
      </c>
      <c r="R111" s="8"/>
      <c r="S111" s="8"/>
      <c r="T111" s="8"/>
      <c r="W111" s="7"/>
      <c r="X111" s="7"/>
    </row>
    <row r="112" spans="1:24">
      <c r="A112">
        <v>1.58</v>
      </c>
      <c r="B112">
        <v>108.946364</v>
      </c>
      <c r="C112">
        <v>150.61600000000001</v>
      </c>
      <c r="D112">
        <f t="shared" si="15"/>
        <v>10.81987453950887</v>
      </c>
      <c r="R112" s="8"/>
      <c r="S112" s="8"/>
      <c r="T112" s="8"/>
      <c r="W112" s="7"/>
      <c r="X112" s="7"/>
    </row>
    <row r="113" spans="1:24">
      <c r="A113">
        <v>1.59</v>
      </c>
      <c r="B113">
        <v>107.679091</v>
      </c>
      <c r="C113">
        <v>147.943636</v>
      </c>
      <c r="D113">
        <f t="shared" si="15"/>
        <v>10.612685187015671</v>
      </c>
      <c r="R113" s="8"/>
      <c r="S113" s="8"/>
      <c r="T113" s="8"/>
      <c r="W113" s="7"/>
      <c r="X113" s="7"/>
    </row>
    <row r="114" spans="1:24">
      <c r="A114">
        <v>1.6</v>
      </c>
      <c r="B114">
        <v>106.10909100000001</v>
      </c>
      <c r="C114">
        <v>144.76363599999999</v>
      </c>
      <c r="D114">
        <f t="shared" si="15"/>
        <v>10.377452966435744</v>
      </c>
      <c r="R114" s="8"/>
      <c r="S114" s="8"/>
      <c r="T114" s="8"/>
      <c r="W114" s="7"/>
      <c r="X114" s="7"/>
    </row>
    <row r="115" spans="1:24">
      <c r="A115">
        <v>1.61</v>
      </c>
      <c r="B115">
        <v>104.505455</v>
      </c>
      <c r="C115">
        <v>141.518182</v>
      </c>
      <c r="D115">
        <f t="shared" si="15"/>
        <v>10.128713874723413</v>
      </c>
      <c r="R115" s="8"/>
      <c r="S115" s="8"/>
      <c r="T115" s="8"/>
      <c r="W115" s="7"/>
      <c r="X115" s="7"/>
    </row>
    <row r="116" spans="1:24">
      <c r="A116">
        <v>1.62</v>
      </c>
      <c r="B116">
        <v>102.863</v>
      </c>
      <c r="C116">
        <v>138.32545500000001</v>
      </c>
      <c r="D116">
        <f t="shared" si="15"/>
        <v>9.8956093124286095</v>
      </c>
      <c r="R116" s="8"/>
      <c r="S116" s="8"/>
      <c r="T116" s="8"/>
      <c r="W116" s="7"/>
      <c r="X116" s="7"/>
    </row>
    <row r="117" spans="1:24">
      <c r="A117">
        <v>1.63</v>
      </c>
      <c r="B117">
        <v>101.315455</v>
      </c>
      <c r="C117">
        <v>135.32181800000001</v>
      </c>
      <c r="D117">
        <f t="shared" si="15"/>
        <v>9.6686249686101391</v>
      </c>
      <c r="R117" s="8"/>
      <c r="S117" s="8"/>
      <c r="T117" s="8"/>
      <c r="W117" s="7"/>
      <c r="X117" s="7"/>
    </row>
    <row r="118" spans="1:24">
      <c r="A118">
        <v>1.64</v>
      </c>
      <c r="B118">
        <v>99.976364000000004</v>
      </c>
      <c r="C118">
        <v>132.67090899999999</v>
      </c>
      <c r="D118">
        <f t="shared" si="15"/>
        <v>9.4521820547300006</v>
      </c>
      <c r="R118" s="8"/>
      <c r="S118" s="8"/>
      <c r="T118" s="8"/>
      <c r="W118" s="7"/>
      <c r="X118" s="7"/>
    </row>
    <row r="119" spans="1:24">
      <c r="A119">
        <v>1.65</v>
      </c>
      <c r="B119">
        <v>98.738</v>
      </c>
      <c r="C119">
        <v>130.18</v>
      </c>
      <c r="D119">
        <f t="shared" si="15"/>
        <v>9.235380087681472</v>
      </c>
      <c r="R119" s="8"/>
      <c r="S119" s="8"/>
      <c r="T119" s="8"/>
      <c r="W119" s="7"/>
      <c r="X119" s="7"/>
    </row>
    <row r="120" spans="1:24">
      <c r="A120">
        <v>1.66</v>
      </c>
      <c r="B120">
        <v>97.568181999999993</v>
      </c>
      <c r="C120">
        <v>127.89636400000001</v>
      </c>
      <c r="D120">
        <f t="shared" si="15"/>
        <v>9.0423065521082346</v>
      </c>
      <c r="R120" s="8"/>
      <c r="S120" s="8"/>
      <c r="T120" s="8"/>
      <c r="W120" s="7"/>
      <c r="X120" s="7"/>
    </row>
    <row r="121" spans="1:24">
      <c r="A121">
        <v>1.67</v>
      </c>
      <c r="B121">
        <v>96.643332999999998</v>
      </c>
      <c r="C121">
        <v>125.872727</v>
      </c>
      <c r="D121">
        <f t="shared" si="15"/>
        <v>8.8276724500977686</v>
      </c>
      <c r="R121" s="8"/>
      <c r="S121" s="8"/>
      <c r="T121" s="8"/>
      <c r="W121" s="7"/>
      <c r="X121" s="7"/>
    </row>
    <row r="122" spans="1:24">
      <c r="A122">
        <v>1.68</v>
      </c>
      <c r="B122">
        <v>96.025000000000006</v>
      </c>
      <c r="C122">
        <v>124.39272699999999</v>
      </c>
      <c r="D122">
        <f t="shared" si="15"/>
        <v>8.6469748391561581</v>
      </c>
      <c r="R122" s="8"/>
      <c r="S122" s="8"/>
      <c r="T122" s="8"/>
      <c r="W122" s="7"/>
      <c r="X122" s="7"/>
    </row>
    <row r="123" spans="1:24">
      <c r="A123">
        <v>1.69</v>
      </c>
      <c r="B123">
        <v>95.440909000000005</v>
      </c>
      <c r="C123">
        <v>122.916364</v>
      </c>
      <c r="D123">
        <f t="shared" si="15"/>
        <v>8.4519336825451692</v>
      </c>
      <c r="R123" s="8"/>
      <c r="S123" s="8"/>
      <c r="T123" s="8"/>
      <c r="W123" s="7"/>
      <c r="X123" s="7"/>
    </row>
    <row r="124" spans="1:24">
      <c r="A124">
        <v>1.7</v>
      </c>
      <c r="B124">
        <v>95.029090999999994</v>
      </c>
      <c r="C124">
        <v>121.627273</v>
      </c>
      <c r="D124">
        <f t="shared" si="15"/>
        <v>8.2441841929786754</v>
      </c>
      <c r="R124" s="8"/>
      <c r="S124" s="8"/>
      <c r="T124" s="8"/>
      <c r="W124" s="7"/>
      <c r="X124" s="7"/>
    </row>
    <row r="125" spans="1:24">
      <c r="A125">
        <v>1.71</v>
      </c>
      <c r="B125">
        <v>94.640908999999994</v>
      </c>
      <c r="C125">
        <v>120.548889</v>
      </c>
      <c r="D125">
        <f t="shared" si="15"/>
        <v>8.0834084059479334</v>
      </c>
      <c r="R125" s="8"/>
      <c r="S125" s="8"/>
      <c r="T125" s="8"/>
      <c r="W125" s="7"/>
      <c r="X125" s="7"/>
    </row>
    <row r="126" spans="1:24">
      <c r="A126">
        <v>1.72</v>
      </c>
      <c r="B126">
        <v>94.295455000000004</v>
      </c>
      <c r="C126">
        <v>119.52909099999999</v>
      </c>
      <c r="D126">
        <f t="shared" si="15"/>
        <v>7.9217581799360817</v>
      </c>
      <c r="R126" s="8"/>
      <c r="S126" s="8"/>
      <c r="T126" s="8"/>
      <c r="W126" s="7"/>
      <c r="X126" s="7"/>
    </row>
    <row r="127" spans="1:24">
      <c r="A127">
        <v>1.73</v>
      </c>
      <c r="B127">
        <v>93.910909000000004</v>
      </c>
      <c r="C127">
        <v>118.614</v>
      </c>
      <c r="D127">
        <f t="shared" si="15"/>
        <v>7.8015313478071873</v>
      </c>
      <c r="R127" s="8"/>
      <c r="S127" s="8"/>
      <c r="T127" s="8"/>
      <c r="W127" s="7"/>
      <c r="X127" s="7"/>
    </row>
    <row r="128" spans="1:24">
      <c r="A128">
        <v>1.74</v>
      </c>
      <c r="B128">
        <v>93.526364000000001</v>
      </c>
      <c r="C128">
        <v>117.707273</v>
      </c>
      <c r="D128">
        <f t="shared" si="15"/>
        <v>7.6822498091888791</v>
      </c>
      <c r="R128" s="8"/>
      <c r="S128" s="8"/>
      <c r="T128" s="8"/>
      <c r="W128" s="7"/>
      <c r="X128" s="7"/>
    </row>
    <row r="129" spans="1:24">
      <c r="A129">
        <v>1.75</v>
      </c>
      <c r="B129">
        <v>93.146364000000005</v>
      </c>
      <c r="C129">
        <v>116.72</v>
      </c>
      <c r="D129">
        <f t="shared" si="15"/>
        <v>7.5368747811598</v>
      </c>
      <c r="R129" s="8"/>
      <c r="S129" s="8"/>
      <c r="T129" s="8"/>
      <c r="W129" s="7"/>
      <c r="X129" s="7"/>
    </row>
    <row r="130" spans="1:24">
      <c r="A130">
        <v>1.76</v>
      </c>
      <c r="B130">
        <v>92.792726999999999</v>
      </c>
      <c r="C130">
        <v>115.554545</v>
      </c>
      <c r="D130">
        <f t="shared" si="15"/>
        <v>7.3286995279321028</v>
      </c>
      <c r="R130" s="8"/>
      <c r="S130" s="8"/>
      <c r="T130" s="8"/>
      <c r="W130" s="7"/>
      <c r="X130" s="7"/>
    </row>
    <row r="131" spans="1:24">
      <c r="A131">
        <v>1.77</v>
      </c>
      <c r="B131">
        <v>92.4</v>
      </c>
      <c r="C131">
        <v>114.490909</v>
      </c>
      <c r="D131">
        <f t="shared" si="15"/>
        <v>7.1614640186823042</v>
      </c>
      <c r="R131" s="8"/>
      <c r="S131" s="8"/>
      <c r="T131" s="8"/>
      <c r="W131" s="7"/>
      <c r="X131" s="7"/>
    </row>
    <row r="132" spans="1:24">
      <c r="A132">
        <v>1.78</v>
      </c>
      <c r="B132">
        <v>91.951818000000003</v>
      </c>
      <c r="C132">
        <v>113.30545499999999</v>
      </c>
      <c r="D132">
        <f t="shared" si="15"/>
        <v>6.9761922255964839</v>
      </c>
      <c r="R132" s="8"/>
      <c r="S132" s="8"/>
      <c r="T132" s="8"/>
      <c r="W132" s="7"/>
      <c r="X132" s="7"/>
    </row>
    <row r="133" spans="1:24">
      <c r="A133">
        <v>1.79</v>
      </c>
      <c r="B133">
        <v>91.329091000000005</v>
      </c>
      <c r="C133">
        <v>111.978182</v>
      </c>
      <c r="D133">
        <f t="shared" ref="D133:D196" si="16">-10*LOG10(B133/C133)*(1000/$D$2)</f>
        <v>6.8095597833501103</v>
      </c>
      <c r="R133" s="8"/>
      <c r="S133" s="8"/>
      <c r="T133" s="8"/>
      <c r="W133" s="7"/>
      <c r="X133" s="7"/>
    </row>
    <row r="134" spans="1:24">
      <c r="A134">
        <v>1.8</v>
      </c>
      <c r="B134">
        <v>90.3</v>
      </c>
      <c r="C134">
        <v>110.33454500000001</v>
      </c>
      <c r="D134">
        <f t="shared" si="16"/>
        <v>6.6941352371735263</v>
      </c>
      <c r="R134" s="8"/>
      <c r="S134" s="8"/>
      <c r="T134" s="8"/>
      <c r="W134" s="7"/>
      <c r="X134" s="7"/>
    </row>
    <row r="135" spans="1:24">
      <c r="A135">
        <v>1.81</v>
      </c>
      <c r="B135">
        <v>88.415555999999995</v>
      </c>
      <c r="C135">
        <v>107.76363600000001</v>
      </c>
      <c r="D135">
        <f t="shared" si="16"/>
        <v>6.6110426116690455</v>
      </c>
      <c r="R135" s="8"/>
      <c r="S135" s="8"/>
      <c r="T135" s="8"/>
      <c r="W135" s="7"/>
      <c r="X135" s="7"/>
    </row>
    <row r="136" spans="1:24">
      <c r="A136">
        <v>1.82</v>
      </c>
      <c r="B136">
        <v>85.128</v>
      </c>
      <c r="C136">
        <v>103.363636</v>
      </c>
      <c r="D136">
        <f t="shared" si="16"/>
        <v>6.4842575244692302</v>
      </c>
      <c r="R136" s="8"/>
      <c r="S136" s="8"/>
      <c r="T136" s="8"/>
      <c r="W136" s="7"/>
      <c r="X136" s="7"/>
    </row>
    <row r="137" spans="1:24">
      <c r="A137">
        <v>1.83</v>
      </c>
      <c r="B137">
        <v>81.673636000000002</v>
      </c>
      <c r="C137">
        <v>98.84</v>
      </c>
      <c r="D137">
        <f t="shared" si="16"/>
        <v>6.373142039015768</v>
      </c>
      <c r="R137" s="8"/>
      <c r="S137" s="8"/>
      <c r="T137" s="8"/>
      <c r="W137" s="7"/>
      <c r="X137" s="7"/>
    </row>
    <row r="138" spans="1:24">
      <c r="A138">
        <v>1.84</v>
      </c>
      <c r="B138">
        <v>76.510000000000005</v>
      </c>
      <c r="C138">
        <v>92.229090999999997</v>
      </c>
      <c r="D138">
        <f t="shared" si="16"/>
        <v>6.242286641170101</v>
      </c>
      <c r="R138" s="8"/>
      <c r="S138" s="8"/>
      <c r="T138" s="8"/>
      <c r="W138" s="7"/>
      <c r="X138" s="7"/>
    </row>
    <row r="139" spans="1:24">
      <c r="A139">
        <v>1.85</v>
      </c>
      <c r="B139">
        <v>77.247273000000007</v>
      </c>
      <c r="C139">
        <v>92.695999999999998</v>
      </c>
      <c r="D139">
        <f t="shared" si="16"/>
        <v>6.0906028574843072</v>
      </c>
      <c r="R139" s="8"/>
      <c r="S139" s="8"/>
      <c r="T139" s="8"/>
      <c r="W139" s="7"/>
      <c r="X139" s="7"/>
    </row>
    <row r="140" spans="1:24">
      <c r="A140">
        <v>1.86</v>
      </c>
      <c r="B140">
        <v>78.306364000000002</v>
      </c>
      <c r="C140">
        <v>93.696364000000003</v>
      </c>
      <c r="D140">
        <f t="shared" si="16"/>
        <v>5.9942830045306943</v>
      </c>
      <c r="R140" s="8"/>
      <c r="S140" s="8"/>
      <c r="T140" s="8"/>
      <c r="W140" s="7"/>
      <c r="X140" s="7"/>
    </row>
    <row r="141" spans="1:24">
      <c r="A141">
        <v>1.87</v>
      </c>
      <c r="B141">
        <v>76.278182000000001</v>
      </c>
      <c r="C141">
        <v>91.005454999999998</v>
      </c>
      <c r="D141">
        <f t="shared" si="16"/>
        <v>5.8974685956907988</v>
      </c>
      <c r="R141" s="8"/>
      <c r="S141" s="8"/>
      <c r="T141" s="8"/>
      <c r="W141" s="7"/>
      <c r="X141" s="7"/>
    </row>
    <row r="142" spans="1:24">
      <c r="A142">
        <v>1.88</v>
      </c>
      <c r="B142">
        <v>74.879091000000003</v>
      </c>
      <c r="C142">
        <v>89.06</v>
      </c>
      <c r="D142">
        <f t="shared" si="16"/>
        <v>5.7940097832008748</v>
      </c>
      <c r="R142" s="8"/>
      <c r="S142" s="8"/>
      <c r="T142" s="8"/>
      <c r="W142" s="7"/>
      <c r="X142" s="7"/>
    </row>
    <row r="143" spans="1:24">
      <c r="A143">
        <v>1.89</v>
      </c>
      <c r="B143">
        <v>81.135555999999994</v>
      </c>
      <c r="C143">
        <v>96.44</v>
      </c>
      <c r="D143">
        <f t="shared" si="16"/>
        <v>5.7727680842278648</v>
      </c>
      <c r="R143" s="8"/>
      <c r="S143" s="8"/>
      <c r="T143" s="8"/>
      <c r="W143" s="7"/>
      <c r="X143" s="7"/>
    </row>
    <row r="144" spans="1:24">
      <c r="A144">
        <v>1.9</v>
      </c>
      <c r="B144">
        <v>78.963999999999999</v>
      </c>
      <c r="C144">
        <v>93.751999999999995</v>
      </c>
      <c r="D144">
        <f t="shared" si="16"/>
        <v>5.7347231855315579</v>
      </c>
      <c r="R144" s="8"/>
      <c r="S144" s="8"/>
      <c r="T144" s="8"/>
      <c r="W144" s="7"/>
      <c r="X144" s="7"/>
    </row>
    <row r="145" spans="1:24">
      <c r="A145">
        <v>1.91</v>
      </c>
      <c r="B145">
        <v>74.951110999999997</v>
      </c>
      <c r="C145">
        <v>88.747273000000007</v>
      </c>
      <c r="D145">
        <f t="shared" si="16"/>
        <v>5.6443801755600678</v>
      </c>
      <c r="R145" s="8"/>
      <c r="S145" s="8"/>
      <c r="T145" s="8"/>
      <c r="W145" s="7"/>
      <c r="X145" s="7"/>
    </row>
    <row r="146" spans="1:24">
      <c r="A146">
        <v>1.92</v>
      </c>
      <c r="B146">
        <v>76.62</v>
      </c>
      <c r="C146">
        <v>90.594544999999997</v>
      </c>
      <c r="D146">
        <f t="shared" si="16"/>
        <v>5.5969154227996034</v>
      </c>
      <c r="R146" s="8"/>
      <c r="S146" s="8"/>
      <c r="T146" s="8"/>
      <c r="W146" s="7"/>
      <c r="X146" s="7"/>
    </row>
    <row r="147" spans="1:24">
      <c r="A147">
        <v>1.93</v>
      </c>
      <c r="B147">
        <v>78.378181999999995</v>
      </c>
      <c r="C147">
        <v>92.647272999999998</v>
      </c>
      <c r="D147">
        <f t="shared" si="16"/>
        <v>5.5874965404957235</v>
      </c>
      <c r="R147" s="8"/>
      <c r="S147" s="8"/>
      <c r="T147" s="8"/>
      <c r="W147" s="7"/>
      <c r="X147" s="7"/>
    </row>
    <row r="148" spans="1:24">
      <c r="A148">
        <v>1.94</v>
      </c>
      <c r="B148">
        <v>79.826999999999998</v>
      </c>
      <c r="C148">
        <v>94.34</v>
      </c>
      <c r="D148">
        <f t="shared" si="16"/>
        <v>5.5804664361473746</v>
      </c>
      <c r="R148" s="8"/>
      <c r="S148" s="8"/>
      <c r="T148" s="8"/>
      <c r="W148" s="7"/>
      <c r="X148" s="7"/>
    </row>
    <row r="149" spans="1:24">
      <c r="A149">
        <v>1.95</v>
      </c>
      <c r="B149">
        <v>80.900908999999999</v>
      </c>
      <c r="C149">
        <v>95.532726999999994</v>
      </c>
      <c r="D149">
        <f t="shared" si="16"/>
        <v>5.5537518141118252</v>
      </c>
      <c r="R149" s="8"/>
      <c r="S149" s="8"/>
      <c r="T149" s="8"/>
      <c r="W149" s="7"/>
      <c r="X149" s="7"/>
    </row>
    <row r="150" spans="1:24">
      <c r="A150">
        <v>1.96</v>
      </c>
      <c r="B150">
        <v>80.920908999999995</v>
      </c>
      <c r="C150">
        <v>95.261818000000005</v>
      </c>
      <c r="D150">
        <f t="shared" si="16"/>
        <v>5.4506240614337953</v>
      </c>
      <c r="R150" s="8"/>
      <c r="S150" s="8"/>
      <c r="T150" s="8"/>
      <c r="W150" s="7"/>
      <c r="X150" s="7"/>
    </row>
    <row r="151" spans="1:24">
      <c r="A151">
        <v>1.97</v>
      </c>
      <c r="B151">
        <v>80.92</v>
      </c>
      <c r="C151">
        <v>94.954544999999996</v>
      </c>
      <c r="D151">
        <f t="shared" si="16"/>
        <v>5.3430679215674211</v>
      </c>
      <c r="R151" s="8"/>
      <c r="S151" s="8"/>
      <c r="T151" s="8"/>
      <c r="W151" s="7"/>
      <c r="X151" s="7"/>
    </row>
    <row r="152" spans="1:24">
      <c r="A152">
        <v>1.98</v>
      </c>
      <c r="B152">
        <v>80.756364000000005</v>
      </c>
      <c r="C152">
        <v>94.334545000000006</v>
      </c>
      <c r="D152">
        <f t="shared" si="16"/>
        <v>5.1918463210904271</v>
      </c>
      <c r="R152" s="8"/>
      <c r="S152" s="8"/>
      <c r="T152" s="8"/>
      <c r="W152" s="7"/>
      <c r="X152" s="7"/>
    </row>
    <row r="153" spans="1:24">
      <c r="A153">
        <v>1.99</v>
      </c>
      <c r="B153">
        <v>80.298181999999997</v>
      </c>
      <c r="C153">
        <v>93.581817999999998</v>
      </c>
      <c r="D153">
        <f t="shared" si="16"/>
        <v>5.1142896319312463</v>
      </c>
      <c r="R153" s="8"/>
      <c r="S153" s="8"/>
      <c r="T153" s="8"/>
      <c r="W153" s="7"/>
      <c r="X153" s="7"/>
    </row>
    <row r="154" spans="1:24">
      <c r="A154">
        <v>2</v>
      </c>
      <c r="B154">
        <v>79.693635999999998</v>
      </c>
      <c r="C154">
        <v>92.72</v>
      </c>
      <c r="D154">
        <f t="shared" si="16"/>
        <v>5.0576754702451412</v>
      </c>
      <c r="R154" s="8"/>
      <c r="S154" s="8"/>
      <c r="T154" s="8"/>
      <c r="W154" s="7"/>
      <c r="X154" s="7"/>
    </row>
    <row r="155" spans="1:24">
      <c r="A155">
        <v>2.0099999999999998</v>
      </c>
      <c r="B155">
        <v>78.94</v>
      </c>
      <c r="C155">
        <v>91.649090999999999</v>
      </c>
      <c r="D155">
        <f t="shared" si="16"/>
        <v>4.9870030624773563</v>
      </c>
      <c r="R155" s="8"/>
      <c r="S155" s="8"/>
      <c r="T155" s="8"/>
      <c r="W155" s="7"/>
      <c r="X155" s="7"/>
    </row>
    <row r="156" spans="1:24">
      <c r="A156">
        <v>2.02</v>
      </c>
      <c r="B156">
        <v>78.377273000000002</v>
      </c>
      <c r="C156">
        <v>90.67</v>
      </c>
      <c r="D156">
        <f t="shared" si="16"/>
        <v>4.8671897570127669</v>
      </c>
      <c r="R156" s="8"/>
      <c r="S156" s="8"/>
      <c r="T156" s="8"/>
      <c r="W156" s="7"/>
      <c r="X156" s="7"/>
    </row>
    <row r="157" spans="1:24">
      <c r="A157">
        <v>2.0299999999999998</v>
      </c>
      <c r="B157">
        <v>77.876000000000005</v>
      </c>
      <c r="C157">
        <v>89.896364000000005</v>
      </c>
      <c r="D157">
        <f t="shared" si="16"/>
        <v>4.7952684552048721</v>
      </c>
      <c r="R157" s="8"/>
      <c r="S157" s="8"/>
      <c r="T157" s="8"/>
      <c r="W157" s="7"/>
      <c r="X157" s="7"/>
    </row>
    <row r="158" spans="1:24">
      <c r="A158">
        <v>2.04</v>
      </c>
      <c r="B158">
        <v>77.196364000000003</v>
      </c>
      <c r="C158">
        <v>88.878181999999995</v>
      </c>
      <c r="D158">
        <f t="shared" si="16"/>
        <v>4.7075628682103527</v>
      </c>
      <c r="R158" s="8"/>
      <c r="S158" s="8"/>
      <c r="T158" s="8"/>
      <c r="W158" s="7"/>
      <c r="X158" s="7"/>
    </row>
    <row r="159" spans="1:24">
      <c r="A159">
        <v>2.0499999999999998</v>
      </c>
      <c r="B159">
        <v>76.398182000000006</v>
      </c>
      <c r="C159">
        <v>87.918182000000002</v>
      </c>
      <c r="D159">
        <f t="shared" si="16"/>
        <v>4.6919749974157519</v>
      </c>
      <c r="R159" s="8"/>
      <c r="S159" s="8"/>
      <c r="T159" s="8"/>
      <c r="W159" s="7"/>
      <c r="X159" s="7"/>
    </row>
    <row r="160" spans="1:24">
      <c r="A160">
        <v>2.06</v>
      </c>
      <c r="B160">
        <v>75.706363999999994</v>
      </c>
      <c r="C160">
        <v>86.915999999999997</v>
      </c>
      <c r="D160">
        <f t="shared" si="16"/>
        <v>4.6128725164426028</v>
      </c>
      <c r="R160" s="8"/>
      <c r="S160" s="8"/>
      <c r="T160" s="8"/>
      <c r="W160" s="7"/>
      <c r="X160" s="7"/>
    </row>
    <row r="161" spans="1:24">
      <c r="A161">
        <v>2.0699999999999998</v>
      </c>
      <c r="B161">
        <v>75.025454999999994</v>
      </c>
      <c r="C161">
        <v>85.916364000000002</v>
      </c>
      <c r="D161">
        <f t="shared" si="16"/>
        <v>4.5282501055882545</v>
      </c>
      <c r="R161" s="8"/>
      <c r="S161" s="8"/>
      <c r="T161" s="8"/>
      <c r="W161" s="7"/>
      <c r="X161" s="7"/>
    </row>
    <row r="162" spans="1:24">
      <c r="A162">
        <v>2.08</v>
      </c>
      <c r="B162">
        <v>74.361818</v>
      </c>
      <c r="C162">
        <v>84.858000000000004</v>
      </c>
      <c r="D162">
        <f t="shared" si="16"/>
        <v>4.4109840679465231</v>
      </c>
      <c r="R162" s="8"/>
      <c r="S162" s="8"/>
      <c r="T162" s="8"/>
      <c r="W162" s="7"/>
      <c r="X162" s="7"/>
    </row>
    <row r="163" spans="1:24">
      <c r="A163">
        <v>2.09</v>
      </c>
      <c r="B163">
        <v>73.586364000000003</v>
      </c>
      <c r="C163">
        <v>83.865454999999997</v>
      </c>
      <c r="D163">
        <f t="shared" si="16"/>
        <v>4.3681356257132684</v>
      </c>
      <c r="R163" s="8"/>
      <c r="S163" s="8"/>
      <c r="T163" s="8"/>
      <c r="W163" s="7"/>
      <c r="X163" s="7"/>
    </row>
    <row r="164" spans="1:24">
      <c r="A164">
        <v>2.1</v>
      </c>
      <c r="B164">
        <v>64.779090999999994</v>
      </c>
      <c r="C164">
        <v>73.544544999999999</v>
      </c>
      <c r="D164">
        <f t="shared" si="16"/>
        <v>4.2396627603746966</v>
      </c>
      <c r="R164" s="8"/>
      <c r="S164" s="8"/>
      <c r="T164" s="8"/>
      <c r="W164" s="7"/>
      <c r="X164" s="7"/>
    </row>
    <row r="165" spans="1:24">
      <c r="A165">
        <v>2.11</v>
      </c>
      <c r="B165">
        <v>64.427000000000007</v>
      </c>
      <c r="C165">
        <v>73.010000000000005</v>
      </c>
      <c r="D165">
        <f t="shared" si="16"/>
        <v>4.1780337888155872</v>
      </c>
      <c r="R165" s="8"/>
      <c r="S165" s="8"/>
      <c r="T165" s="8"/>
      <c r="W165" s="7"/>
      <c r="X165" s="7"/>
    </row>
    <row r="166" spans="1:24">
      <c r="A166">
        <v>2.12</v>
      </c>
      <c r="B166">
        <v>64.374544999999998</v>
      </c>
      <c r="C166">
        <v>72.938000000000002</v>
      </c>
      <c r="D166">
        <f t="shared" si="16"/>
        <v>4.1722829296968129</v>
      </c>
      <c r="R166" s="8"/>
      <c r="S166" s="8"/>
      <c r="T166" s="8"/>
      <c r="W166" s="7"/>
      <c r="X166" s="7"/>
    </row>
    <row r="167" spans="1:24">
      <c r="A167">
        <v>2.13</v>
      </c>
      <c r="B167">
        <v>64.597273000000001</v>
      </c>
      <c r="C167">
        <v>73.178182000000007</v>
      </c>
      <c r="D167">
        <f t="shared" si="16"/>
        <v>4.166725495199783</v>
      </c>
      <c r="R167" s="8"/>
      <c r="S167" s="8"/>
      <c r="T167" s="8"/>
      <c r="W167" s="7"/>
      <c r="X167" s="7"/>
    </row>
    <row r="168" spans="1:24">
      <c r="A168">
        <v>2.14</v>
      </c>
      <c r="B168">
        <v>64.916364000000002</v>
      </c>
      <c r="C168">
        <v>73.572999999999993</v>
      </c>
      <c r="D168">
        <f t="shared" si="16"/>
        <v>4.1818675653621415</v>
      </c>
      <c r="R168" s="8"/>
      <c r="S168" s="8"/>
      <c r="T168" s="8"/>
      <c r="W168" s="7"/>
      <c r="X168" s="7"/>
    </row>
    <row r="169" spans="1:24">
      <c r="A169">
        <v>2.15</v>
      </c>
      <c r="B169">
        <v>65.325000000000003</v>
      </c>
      <c r="C169">
        <v>73.970909000000006</v>
      </c>
      <c r="D169">
        <f t="shared" si="16"/>
        <v>4.1524259394532708</v>
      </c>
      <c r="R169" s="8"/>
      <c r="S169" s="8"/>
      <c r="T169" s="8"/>
      <c r="W169" s="7"/>
      <c r="X169" s="7"/>
    </row>
    <row r="170" spans="1:24">
      <c r="A170">
        <v>2.16</v>
      </c>
      <c r="B170">
        <v>65.837272999999996</v>
      </c>
      <c r="C170">
        <v>74.482726999999997</v>
      </c>
      <c r="D170">
        <f t="shared" si="16"/>
        <v>4.1218257624206274</v>
      </c>
      <c r="R170" s="8"/>
      <c r="S170" s="8"/>
      <c r="T170" s="8"/>
      <c r="W170" s="7"/>
      <c r="X170" s="7"/>
    </row>
    <row r="171" spans="1:24">
      <c r="A171">
        <v>2.17</v>
      </c>
      <c r="B171">
        <v>66.213635999999994</v>
      </c>
      <c r="C171">
        <v>74.89</v>
      </c>
      <c r="D171">
        <f t="shared" si="16"/>
        <v>4.1135687359931623</v>
      </c>
      <c r="R171" s="8"/>
      <c r="S171" s="8"/>
      <c r="T171" s="8"/>
      <c r="W171" s="7"/>
      <c r="X171" s="7"/>
    </row>
    <row r="172" spans="1:24">
      <c r="A172">
        <v>2.1800000000000002</v>
      </c>
      <c r="B172">
        <v>66.462727000000001</v>
      </c>
      <c r="C172">
        <v>75.081817999999998</v>
      </c>
      <c r="D172">
        <f t="shared" si="16"/>
        <v>4.0735864052318282</v>
      </c>
      <c r="R172" s="8"/>
      <c r="S172" s="8"/>
      <c r="T172" s="8"/>
      <c r="W172" s="7"/>
      <c r="X172" s="7"/>
    </row>
    <row r="173" spans="1:24">
      <c r="A173">
        <v>2.19</v>
      </c>
      <c r="B173">
        <v>66.331999999999994</v>
      </c>
      <c r="C173">
        <v>74.829091000000005</v>
      </c>
      <c r="D173">
        <f t="shared" si="16"/>
        <v>4.0267213476033827</v>
      </c>
      <c r="R173" s="8"/>
      <c r="S173" s="8"/>
      <c r="T173" s="8"/>
      <c r="W173" s="7"/>
      <c r="X173" s="7"/>
    </row>
    <row r="174" spans="1:24">
      <c r="A174">
        <v>2.2000000000000002</v>
      </c>
      <c r="B174">
        <v>65.955455000000001</v>
      </c>
      <c r="C174">
        <v>74.414545000000004</v>
      </c>
      <c r="D174">
        <f t="shared" si="16"/>
        <v>4.0313161495287311</v>
      </c>
      <c r="R174" s="8"/>
      <c r="S174" s="8"/>
      <c r="T174" s="8"/>
      <c r="W174" s="7"/>
      <c r="X174" s="7"/>
    </row>
    <row r="175" spans="1:24">
      <c r="A175">
        <v>2.21</v>
      </c>
      <c r="B175">
        <v>65.221999999999994</v>
      </c>
      <c r="C175">
        <v>73.58</v>
      </c>
      <c r="D175">
        <f t="shared" si="16"/>
        <v>4.0281285690743101</v>
      </c>
      <c r="R175" s="8"/>
      <c r="S175" s="8"/>
      <c r="T175" s="8"/>
      <c r="W175" s="7"/>
      <c r="X175" s="7"/>
    </row>
    <row r="176" spans="1:24">
      <c r="A176">
        <v>2.2200000000000002</v>
      </c>
      <c r="B176">
        <v>64.275454999999994</v>
      </c>
      <c r="C176">
        <v>72.758888999999996</v>
      </c>
      <c r="D176">
        <f t="shared" si="16"/>
        <v>4.1416076367406891</v>
      </c>
      <c r="R176" s="8"/>
      <c r="S176" s="8"/>
      <c r="T176" s="8"/>
      <c r="W176" s="7"/>
      <c r="X176" s="7"/>
    </row>
    <row r="177" spans="1:24">
      <c r="A177">
        <v>2.23</v>
      </c>
      <c r="B177">
        <v>63.16</v>
      </c>
      <c r="C177">
        <v>71.793999999999997</v>
      </c>
      <c r="D177">
        <f t="shared" si="16"/>
        <v>4.2804637978148703</v>
      </c>
      <c r="R177" s="8"/>
      <c r="S177" s="8"/>
      <c r="T177" s="8"/>
      <c r="W177" s="7"/>
      <c r="X177" s="7"/>
    </row>
    <row r="178" spans="1:24">
      <c r="A178">
        <v>2.2400000000000002</v>
      </c>
      <c r="B178">
        <v>62.202727000000003</v>
      </c>
      <c r="C178">
        <v>70.853635999999995</v>
      </c>
      <c r="D178">
        <f t="shared" si="16"/>
        <v>4.3502090049790594</v>
      </c>
      <c r="R178" s="8"/>
      <c r="S178" s="8"/>
      <c r="T178" s="8"/>
      <c r="W178" s="7"/>
      <c r="X178" s="7"/>
    </row>
    <row r="179" spans="1:24">
      <c r="A179">
        <v>2.25</v>
      </c>
      <c r="B179">
        <v>61.357272999999999</v>
      </c>
      <c r="C179">
        <v>69.969091000000006</v>
      </c>
      <c r="D179">
        <f t="shared" si="16"/>
        <v>4.3877063470732187</v>
      </c>
      <c r="R179" s="8"/>
      <c r="S179" s="8"/>
      <c r="T179" s="8"/>
      <c r="W179" s="7"/>
      <c r="X179" s="7"/>
    </row>
    <row r="180" spans="1:24">
      <c r="A180">
        <v>2.2599999999999998</v>
      </c>
      <c r="B180">
        <v>60.76</v>
      </c>
      <c r="C180">
        <v>69.093636000000004</v>
      </c>
      <c r="D180">
        <f t="shared" si="16"/>
        <v>4.2938678854643548</v>
      </c>
      <c r="F180" s="34"/>
      <c r="R180" s="8"/>
      <c r="S180" s="8"/>
      <c r="T180" s="8"/>
      <c r="W180" s="7"/>
      <c r="X180" s="7"/>
    </row>
    <row r="181" spans="1:24">
      <c r="A181">
        <v>2.27</v>
      </c>
      <c r="B181">
        <v>60.188181999999998</v>
      </c>
      <c r="C181">
        <v>68.097999999999999</v>
      </c>
      <c r="D181">
        <f t="shared" si="16"/>
        <v>4.1248562747891349</v>
      </c>
      <c r="R181" s="8"/>
      <c r="S181" s="8"/>
      <c r="T181" s="8"/>
      <c r="W181" s="7"/>
      <c r="X181" s="7"/>
    </row>
    <row r="182" spans="1:24">
      <c r="A182">
        <v>2.2799999999999998</v>
      </c>
      <c r="B182">
        <v>59.706364000000001</v>
      </c>
      <c r="C182">
        <v>67.315455</v>
      </c>
      <c r="D182">
        <f t="shared" si="16"/>
        <v>4.0072431786227192</v>
      </c>
      <c r="R182" s="8"/>
      <c r="S182" s="8"/>
      <c r="T182" s="8"/>
      <c r="W182" s="7"/>
      <c r="X182" s="7"/>
    </row>
    <row r="183" spans="1:24">
      <c r="A183">
        <v>2.29</v>
      </c>
      <c r="B183">
        <v>59.200909000000003</v>
      </c>
      <c r="C183">
        <v>66.519000000000005</v>
      </c>
      <c r="D183">
        <f t="shared" si="16"/>
        <v>3.8936412747496059</v>
      </c>
      <c r="R183" s="8"/>
      <c r="S183" s="8"/>
      <c r="T183" s="8"/>
      <c r="W183" s="7"/>
      <c r="X183" s="7"/>
    </row>
    <row r="184" spans="1:24">
      <c r="A184">
        <v>2.2999999999999998</v>
      </c>
      <c r="B184">
        <v>58.835455000000003</v>
      </c>
      <c r="C184">
        <v>65.955455000000001</v>
      </c>
      <c r="D184">
        <f t="shared" si="16"/>
        <v>3.8162772552307005</v>
      </c>
      <c r="R184" s="8"/>
      <c r="S184" s="8"/>
      <c r="T184" s="8"/>
      <c r="W184" s="7"/>
      <c r="X184" s="7"/>
    </row>
    <row r="185" spans="1:24">
      <c r="A185">
        <v>2.31</v>
      </c>
      <c r="B185">
        <v>58.531818000000001</v>
      </c>
      <c r="C185">
        <v>65.498182</v>
      </c>
      <c r="D185">
        <f t="shared" si="16"/>
        <v>3.7567101648510954</v>
      </c>
      <c r="R185" s="8"/>
      <c r="S185" s="8"/>
      <c r="T185" s="8"/>
      <c r="W185" s="7"/>
      <c r="X185" s="7"/>
    </row>
    <row r="186" spans="1:24">
      <c r="A186">
        <v>2.3199999999999998</v>
      </c>
      <c r="B186">
        <v>58.194544999999998</v>
      </c>
      <c r="C186">
        <v>65.012726999999998</v>
      </c>
      <c r="D186">
        <f t="shared" si="16"/>
        <v>3.701238939731601</v>
      </c>
      <c r="R186" s="8"/>
      <c r="S186" s="8"/>
      <c r="T186" s="8"/>
      <c r="W186" s="7"/>
      <c r="X186" s="7"/>
    </row>
    <row r="187" spans="1:24">
      <c r="A187">
        <v>2.33</v>
      </c>
      <c r="B187">
        <v>57.927273</v>
      </c>
      <c r="C187">
        <v>64.585454999999996</v>
      </c>
      <c r="D187">
        <f t="shared" si="16"/>
        <v>3.6347414986903686</v>
      </c>
      <c r="R187" s="8"/>
      <c r="S187" s="8"/>
      <c r="T187" s="8"/>
      <c r="W187" s="7"/>
      <c r="X187" s="7"/>
    </row>
    <row r="188" spans="1:24">
      <c r="A188">
        <v>2.34</v>
      </c>
      <c r="B188">
        <v>57.566364</v>
      </c>
      <c r="C188">
        <v>64.245999999999995</v>
      </c>
      <c r="D188">
        <f t="shared" si="16"/>
        <v>3.6674841468581221</v>
      </c>
      <c r="R188" s="8"/>
      <c r="S188" s="8"/>
      <c r="T188" s="8"/>
      <c r="W188" s="7"/>
      <c r="X188" s="7"/>
    </row>
    <row r="189" spans="1:24">
      <c r="A189">
        <v>2.35</v>
      </c>
      <c r="B189">
        <v>57.17</v>
      </c>
      <c r="C189">
        <v>63.956364000000001</v>
      </c>
      <c r="D189">
        <f t="shared" si="16"/>
        <v>3.7473517978768696</v>
      </c>
      <c r="R189" s="8"/>
      <c r="S189" s="8"/>
      <c r="T189" s="8"/>
      <c r="W189" s="7"/>
      <c r="X189" s="7"/>
    </row>
    <row r="190" spans="1:24">
      <c r="A190">
        <v>2.36</v>
      </c>
      <c r="B190">
        <v>56.654000000000003</v>
      </c>
      <c r="C190">
        <v>63.452727000000003</v>
      </c>
      <c r="D190">
        <f t="shared" si="16"/>
        <v>3.7861317873051696</v>
      </c>
      <c r="R190" s="8"/>
      <c r="S190" s="8"/>
      <c r="T190" s="8"/>
      <c r="W190" s="7"/>
      <c r="X190" s="7"/>
    </row>
    <row r="191" spans="1:24">
      <c r="A191">
        <v>2.37</v>
      </c>
      <c r="B191">
        <v>56.078181999999998</v>
      </c>
      <c r="C191">
        <v>62.895454999999998</v>
      </c>
      <c r="D191">
        <f t="shared" si="16"/>
        <v>3.8327182671123219</v>
      </c>
      <c r="R191" s="8"/>
      <c r="S191" s="8"/>
      <c r="T191" s="8"/>
      <c r="W191" s="7"/>
      <c r="X191" s="7"/>
    </row>
    <row r="192" spans="1:24">
      <c r="A192">
        <v>2.38</v>
      </c>
      <c r="B192">
        <v>55.394545000000001</v>
      </c>
      <c r="C192">
        <v>62.135455</v>
      </c>
      <c r="D192">
        <f t="shared" si="16"/>
        <v>3.8363448758359895</v>
      </c>
      <c r="R192" s="8"/>
      <c r="S192" s="8"/>
      <c r="T192" s="8"/>
      <c r="W192" s="7"/>
      <c r="X192" s="7"/>
    </row>
    <row r="193" spans="1:24">
      <c r="A193">
        <v>2.39</v>
      </c>
      <c r="B193">
        <v>54.552726999999997</v>
      </c>
      <c r="C193">
        <v>61.45</v>
      </c>
      <c r="D193">
        <f t="shared" si="16"/>
        <v>3.9773401613360848</v>
      </c>
      <c r="R193" s="8"/>
      <c r="S193" s="8"/>
      <c r="T193" s="8"/>
      <c r="W193" s="7"/>
      <c r="X193" s="7"/>
    </row>
    <row r="194" spans="1:24">
      <c r="A194">
        <v>2.4</v>
      </c>
      <c r="B194">
        <v>53.709091000000001</v>
      </c>
      <c r="C194">
        <v>60.681818</v>
      </c>
      <c r="D194">
        <f t="shared" si="16"/>
        <v>4.0777524123344984</v>
      </c>
      <c r="R194" s="8"/>
      <c r="S194" s="8"/>
      <c r="T194" s="8"/>
      <c r="W194" s="7"/>
      <c r="X194" s="7"/>
    </row>
    <row r="195" spans="1:24">
      <c r="A195">
        <v>2.41</v>
      </c>
      <c r="B195">
        <v>52.664544999999997</v>
      </c>
      <c r="C195">
        <v>59.700909000000003</v>
      </c>
      <c r="D195">
        <f t="shared" si="16"/>
        <v>4.1894313301494908</v>
      </c>
      <c r="R195" s="8"/>
      <c r="S195" s="8"/>
      <c r="T195" s="8"/>
      <c r="W195" s="7"/>
      <c r="X195" s="7"/>
    </row>
    <row r="196" spans="1:24">
      <c r="A196">
        <v>2.42</v>
      </c>
      <c r="B196">
        <v>51.602727000000002</v>
      </c>
      <c r="C196">
        <v>58.538181999999999</v>
      </c>
      <c r="D196">
        <f t="shared" si="16"/>
        <v>4.2128136611625058</v>
      </c>
      <c r="R196" s="8"/>
      <c r="S196" s="8"/>
      <c r="T196" s="8"/>
      <c r="W196" s="7"/>
      <c r="X196" s="7"/>
    </row>
    <row r="197" spans="1:24">
      <c r="A197">
        <v>2.4300000000000002</v>
      </c>
      <c r="B197">
        <v>50.684545</v>
      </c>
      <c r="C197">
        <v>57.677</v>
      </c>
      <c r="D197">
        <f t="shared" ref="D197:D254" si="17">-10*LOG10(B197/C197)*(1000/$D$2)</f>
        <v>4.3174700651561615</v>
      </c>
      <c r="R197" s="8"/>
      <c r="S197" s="8"/>
      <c r="T197" s="8"/>
      <c r="W197" s="7"/>
      <c r="X197" s="7"/>
    </row>
    <row r="198" spans="1:24">
      <c r="A198">
        <v>2.44</v>
      </c>
      <c r="B198">
        <v>49.347273000000001</v>
      </c>
      <c r="C198">
        <v>56.120908999999997</v>
      </c>
      <c r="D198">
        <f t="shared" si="17"/>
        <v>4.2970414471739655</v>
      </c>
      <c r="R198" s="8"/>
      <c r="S198" s="8"/>
      <c r="T198" s="8"/>
      <c r="W198" s="7"/>
      <c r="X198" s="7"/>
    </row>
    <row r="199" spans="1:24">
      <c r="A199">
        <v>2.4500000000000002</v>
      </c>
      <c r="B199">
        <v>48.355454999999999</v>
      </c>
      <c r="C199">
        <v>54.935454999999997</v>
      </c>
      <c r="D199">
        <f t="shared" si="17"/>
        <v>4.2620962888374283</v>
      </c>
      <c r="R199" s="8"/>
      <c r="S199" s="8"/>
      <c r="T199" s="8"/>
      <c r="W199" s="7"/>
      <c r="X199" s="7"/>
    </row>
    <row r="200" spans="1:24">
      <c r="A200">
        <v>2.46</v>
      </c>
      <c r="B200">
        <v>47.724544999999999</v>
      </c>
      <c r="C200">
        <v>54.219090999999999</v>
      </c>
      <c r="D200">
        <f t="shared" si="17"/>
        <v>4.2623412036989574</v>
      </c>
      <c r="R200" s="8"/>
      <c r="S200" s="8"/>
      <c r="T200" s="8"/>
      <c r="W200" s="7"/>
      <c r="X200" s="7"/>
    </row>
    <row r="201" spans="1:24">
      <c r="A201">
        <v>2.4700000000000002</v>
      </c>
      <c r="B201">
        <v>46.717272999999999</v>
      </c>
      <c r="C201">
        <v>53.022727000000003</v>
      </c>
      <c r="D201">
        <f t="shared" si="17"/>
        <v>4.2295827728318471</v>
      </c>
      <c r="R201" s="8"/>
      <c r="S201" s="8"/>
      <c r="T201" s="8"/>
      <c r="W201" s="7"/>
      <c r="X201" s="7"/>
    </row>
    <row r="202" spans="1:24">
      <c r="A202">
        <v>2.48</v>
      </c>
      <c r="B202">
        <v>45.741818000000002</v>
      </c>
      <c r="C202">
        <v>51.867272999999997</v>
      </c>
      <c r="D202">
        <f t="shared" si="17"/>
        <v>4.1984610262003841</v>
      </c>
      <c r="R202" s="8"/>
      <c r="S202" s="8"/>
      <c r="T202" s="8"/>
      <c r="W202" s="7"/>
      <c r="X202" s="7"/>
    </row>
    <row r="203" spans="1:24">
      <c r="A203">
        <v>2.4900000000000002</v>
      </c>
      <c r="B203">
        <v>44.64</v>
      </c>
      <c r="C203">
        <v>50.537272999999999</v>
      </c>
      <c r="D203">
        <f t="shared" si="17"/>
        <v>4.1452013600915985</v>
      </c>
      <c r="R203" s="8"/>
      <c r="S203" s="8"/>
      <c r="T203" s="8"/>
      <c r="W203" s="7"/>
      <c r="X203" s="7"/>
    </row>
    <row r="204" spans="1:24">
      <c r="A204">
        <v>2.5</v>
      </c>
      <c r="B204">
        <v>43.898181999999998</v>
      </c>
      <c r="C204">
        <v>49.663635999999997</v>
      </c>
      <c r="D204">
        <f t="shared" si="17"/>
        <v>4.1224598031093489</v>
      </c>
      <c r="R204" s="8"/>
      <c r="S204" s="8"/>
      <c r="T204" s="8"/>
      <c r="W204" s="7"/>
      <c r="X204" s="7"/>
    </row>
    <row r="205" spans="1:24">
      <c r="A205">
        <v>2.5099999999999998</v>
      </c>
      <c r="B205">
        <v>42.813636000000002</v>
      </c>
      <c r="C205">
        <v>48.310909000000002</v>
      </c>
      <c r="D205">
        <f t="shared" si="17"/>
        <v>4.0356228230340037</v>
      </c>
      <c r="R205" s="8"/>
      <c r="S205" s="8"/>
      <c r="T205" s="8"/>
      <c r="W205" s="7"/>
      <c r="X205" s="7"/>
    </row>
    <row r="206" spans="1:24">
      <c r="A206">
        <v>2.52</v>
      </c>
      <c r="B206">
        <v>41.282727000000001</v>
      </c>
      <c r="C206">
        <v>46.543635999999999</v>
      </c>
      <c r="D206">
        <f t="shared" si="17"/>
        <v>4.007071526575209</v>
      </c>
      <c r="R206" s="8"/>
      <c r="S206" s="8"/>
      <c r="T206" s="8"/>
      <c r="W206" s="7"/>
      <c r="X206" s="7"/>
    </row>
    <row r="207" spans="1:24">
      <c r="A207">
        <v>2.5299999999999998</v>
      </c>
      <c r="B207">
        <v>39.575000000000003</v>
      </c>
      <c r="C207">
        <v>44.572727</v>
      </c>
      <c r="D207">
        <f t="shared" si="17"/>
        <v>3.9729447612492925</v>
      </c>
      <c r="R207" s="8"/>
      <c r="S207" s="8"/>
      <c r="T207" s="8"/>
      <c r="W207" s="7"/>
      <c r="X207" s="7"/>
    </row>
    <row r="208" spans="1:24">
      <c r="A208">
        <v>2.54</v>
      </c>
      <c r="B208">
        <v>37.229545000000002</v>
      </c>
      <c r="C208">
        <v>41.844000000000001</v>
      </c>
      <c r="D208">
        <f t="shared" si="17"/>
        <v>3.9034972994208568</v>
      </c>
      <c r="R208" s="8"/>
      <c r="S208" s="8"/>
      <c r="T208" s="8"/>
      <c r="W208" s="7"/>
      <c r="X208" s="7"/>
    </row>
    <row r="209" spans="1:24">
      <c r="A209">
        <v>2.5499999999999998</v>
      </c>
      <c r="B209">
        <v>33.4405</v>
      </c>
      <c r="C209">
        <v>37.465499999999999</v>
      </c>
      <c r="D209">
        <f t="shared" si="17"/>
        <v>3.7968285032398477</v>
      </c>
      <c r="R209" s="8"/>
      <c r="S209" s="8"/>
      <c r="T209" s="8"/>
      <c r="W209" s="7"/>
      <c r="X209" s="7"/>
    </row>
    <row r="210" spans="1:24">
      <c r="A210">
        <v>2.56</v>
      </c>
      <c r="B210">
        <v>35.851818000000002</v>
      </c>
      <c r="C210">
        <v>40.213636000000001</v>
      </c>
      <c r="D210">
        <f t="shared" si="17"/>
        <v>3.8355507261688309</v>
      </c>
      <c r="R210" s="8"/>
      <c r="S210" s="8"/>
      <c r="T210" s="8"/>
      <c r="W210" s="7"/>
      <c r="X210" s="7"/>
    </row>
    <row r="211" spans="1:24">
      <c r="A211">
        <v>2.57</v>
      </c>
      <c r="B211">
        <v>28.016363999999999</v>
      </c>
      <c r="C211">
        <v>31.234545000000001</v>
      </c>
      <c r="D211">
        <f t="shared" si="17"/>
        <v>3.6325701973089086</v>
      </c>
      <c r="R211" s="8"/>
      <c r="S211" s="8"/>
      <c r="T211" s="8"/>
      <c r="W211" s="7"/>
      <c r="X211" s="7"/>
    </row>
    <row r="212" spans="1:24">
      <c r="A212">
        <v>2.58</v>
      </c>
      <c r="B212">
        <v>27.261364</v>
      </c>
      <c r="C212">
        <v>30.406364</v>
      </c>
      <c r="D212">
        <f t="shared" si="17"/>
        <v>3.6474545080209655</v>
      </c>
      <c r="R212" s="8"/>
      <c r="S212" s="8"/>
      <c r="T212" s="8"/>
      <c r="W212" s="7"/>
      <c r="X212" s="7"/>
    </row>
    <row r="213" spans="1:24">
      <c r="A213">
        <v>2.59</v>
      </c>
      <c r="B213">
        <v>23.503636</v>
      </c>
      <c r="C213">
        <v>26.173635999999998</v>
      </c>
      <c r="D213">
        <f t="shared" si="17"/>
        <v>3.5945389028347341</v>
      </c>
      <c r="R213" s="8"/>
      <c r="S213" s="8"/>
      <c r="T213" s="8"/>
      <c r="W213" s="7"/>
      <c r="X213" s="7"/>
    </row>
    <row r="214" spans="1:24">
      <c r="A214">
        <v>2.6</v>
      </c>
      <c r="B214">
        <v>22.606363999999999</v>
      </c>
      <c r="C214">
        <v>25.277273000000001</v>
      </c>
      <c r="D214">
        <f t="shared" si="17"/>
        <v>3.7307309813072869</v>
      </c>
      <c r="R214" s="8"/>
      <c r="S214" s="8"/>
      <c r="T214" s="8"/>
      <c r="W214" s="7"/>
      <c r="X214" s="7"/>
    </row>
    <row r="215" spans="1:24">
      <c r="A215">
        <v>2.61</v>
      </c>
      <c r="B215">
        <v>20.223635999999999</v>
      </c>
      <c r="C215">
        <v>22.635455</v>
      </c>
      <c r="D215">
        <f t="shared" si="17"/>
        <v>3.7638452957298218</v>
      </c>
      <c r="R215" s="8"/>
      <c r="S215" s="8"/>
      <c r="T215" s="8"/>
      <c r="W215" s="7"/>
      <c r="X215" s="7"/>
    </row>
    <row r="216" spans="1:24">
      <c r="A216">
        <v>2.62</v>
      </c>
      <c r="B216">
        <v>20.081</v>
      </c>
      <c r="C216">
        <v>22.536363999999999</v>
      </c>
      <c r="D216">
        <f t="shared" si="17"/>
        <v>3.8537317285748438</v>
      </c>
      <c r="R216" s="8"/>
      <c r="S216" s="8"/>
      <c r="T216" s="8"/>
      <c r="W216" s="7"/>
      <c r="X216" s="7"/>
    </row>
    <row r="217" spans="1:24">
      <c r="A217">
        <v>2.63</v>
      </c>
      <c r="B217">
        <v>25.026817999999999</v>
      </c>
      <c r="C217">
        <v>28.223635999999999</v>
      </c>
      <c r="D217">
        <f t="shared" si="17"/>
        <v>4.015948234287456</v>
      </c>
      <c r="R217" s="8"/>
      <c r="S217" s="8"/>
      <c r="T217" s="8"/>
      <c r="W217" s="7"/>
      <c r="X217" s="7"/>
    </row>
    <row r="218" spans="1:24">
      <c r="A218">
        <v>2.64</v>
      </c>
      <c r="B218">
        <v>32.693635999999998</v>
      </c>
      <c r="C218">
        <v>37.029544999999999</v>
      </c>
      <c r="D218">
        <f t="shared" si="17"/>
        <v>4.160396359213177</v>
      </c>
      <c r="R218" s="8"/>
      <c r="S218" s="8"/>
      <c r="T218" s="8"/>
      <c r="W218" s="7"/>
      <c r="X218" s="7"/>
    </row>
    <row r="219" spans="1:24">
      <c r="A219">
        <v>2.65</v>
      </c>
      <c r="B219">
        <v>30.913181999999999</v>
      </c>
      <c r="C219">
        <v>35.293889</v>
      </c>
      <c r="D219">
        <f t="shared" si="17"/>
        <v>4.4273695926887422</v>
      </c>
      <c r="R219" s="8"/>
      <c r="S219" s="8"/>
      <c r="T219" s="8"/>
      <c r="W219" s="7"/>
      <c r="X219" s="7"/>
    </row>
    <row r="220" spans="1:24">
      <c r="A220">
        <v>2.66</v>
      </c>
      <c r="B220">
        <v>25.198181999999999</v>
      </c>
      <c r="C220">
        <v>29.025455000000001</v>
      </c>
      <c r="D220">
        <f t="shared" si="17"/>
        <v>4.7238329240257357</v>
      </c>
      <c r="R220" s="8"/>
      <c r="S220" s="8"/>
      <c r="T220" s="8"/>
      <c r="W220" s="7"/>
      <c r="X220" s="7"/>
    </row>
    <row r="221" spans="1:24">
      <c r="A221">
        <v>2.67</v>
      </c>
      <c r="B221">
        <v>11.475818</v>
      </c>
      <c r="C221">
        <v>13.455909</v>
      </c>
      <c r="D221">
        <f t="shared" si="17"/>
        <v>5.3176453416728675</v>
      </c>
      <c r="R221" s="8"/>
      <c r="S221" s="8"/>
      <c r="T221" s="8"/>
      <c r="W221" s="7"/>
      <c r="X221" s="7"/>
    </row>
    <row r="222" spans="1:24">
      <c r="A222">
        <v>2.68</v>
      </c>
      <c r="B222">
        <v>12.618364</v>
      </c>
      <c r="C222">
        <v>15.960908999999999</v>
      </c>
      <c r="D222">
        <f t="shared" si="17"/>
        <v>7.8503515559216304</v>
      </c>
      <c r="R222" s="8"/>
      <c r="S222" s="8"/>
      <c r="T222" s="8"/>
      <c r="W222" s="7"/>
      <c r="X222" s="7"/>
    </row>
    <row r="223" spans="1:24">
      <c r="A223">
        <v>2.69</v>
      </c>
      <c r="B223">
        <v>16.732908999999999</v>
      </c>
      <c r="C223">
        <v>24.371091</v>
      </c>
      <c r="D223">
        <f t="shared" si="17"/>
        <v>12.561809393291037</v>
      </c>
      <c r="R223" s="8"/>
      <c r="S223" s="8"/>
      <c r="T223" s="8"/>
      <c r="W223" s="7"/>
      <c r="X223" s="7"/>
    </row>
    <row r="224" spans="1:24">
      <c r="A224">
        <v>2.7</v>
      </c>
      <c r="B224">
        <v>16.624182000000001</v>
      </c>
      <c r="C224">
        <v>23.132273000000001</v>
      </c>
      <c r="D224">
        <f t="shared" si="17"/>
        <v>11.03677109365197</v>
      </c>
      <c r="R224" s="8"/>
      <c r="S224" s="8"/>
      <c r="T224" s="8"/>
      <c r="W224" s="7"/>
      <c r="X224" s="7"/>
    </row>
    <row r="225" spans="1:24">
      <c r="A225">
        <v>2.71</v>
      </c>
      <c r="B225">
        <v>20.232544999999998</v>
      </c>
      <c r="C225">
        <v>24.303889000000002</v>
      </c>
      <c r="D225">
        <f t="shared" si="17"/>
        <v>6.1250198484046159</v>
      </c>
      <c r="R225" s="8"/>
      <c r="S225" s="8"/>
      <c r="T225" s="8"/>
      <c r="W225" s="7"/>
      <c r="X225" s="7"/>
    </row>
    <row r="226" spans="1:24">
      <c r="A226">
        <v>2.72</v>
      </c>
      <c r="B226">
        <v>18.373455</v>
      </c>
      <c r="C226">
        <v>22.125454999999999</v>
      </c>
      <c r="D226">
        <f t="shared" si="17"/>
        <v>6.2077984999919629</v>
      </c>
      <c r="R226" s="8"/>
      <c r="S226" s="8"/>
      <c r="T226" s="8"/>
      <c r="W226" s="7"/>
      <c r="X226" s="7"/>
    </row>
    <row r="227" spans="1:24">
      <c r="A227">
        <v>2.73</v>
      </c>
      <c r="B227">
        <v>21.709599999999998</v>
      </c>
      <c r="C227">
        <v>26.776817999999999</v>
      </c>
      <c r="D227">
        <f t="shared" si="17"/>
        <v>7.0082419302529821</v>
      </c>
      <c r="R227" s="8"/>
      <c r="S227" s="8"/>
      <c r="T227" s="8"/>
      <c r="W227" s="7"/>
      <c r="X227" s="7"/>
    </row>
    <row r="228" spans="1:24">
      <c r="A228">
        <v>2.74</v>
      </c>
      <c r="B228">
        <v>13.339273</v>
      </c>
      <c r="C228">
        <v>17.27</v>
      </c>
      <c r="D228">
        <f t="shared" si="17"/>
        <v>8.6277059003438374</v>
      </c>
      <c r="R228" s="8"/>
      <c r="S228" s="8"/>
      <c r="T228" s="8"/>
      <c r="W228" s="7"/>
      <c r="X228" s="7"/>
    </row>
    <row r="229" spans="1:24">
      <c r="A229">
        <v>2.75</v>
      </c>
      <c r="B229">
        <v>19.534199999999998</v>
      </c>
      <c r="C229">
        <v>27.430454999999998</v>
      </c>
      <c r="D229">
        <f t="shared" si="17"/>
        <v>11.341337044020651</v>
      </c>
      <c r="R229" s="8"/>
      <c r="S229" s="8"/>
      <c r="T229" s="8"/>
      <c r="W229" s="7"/>
      <c r="X229" s="7"/>
    </row>
    <row r="230" spans="1:24">
      <c r="A230">
        <v>2.76</v>
      </c>
      <c r="B230">
        <v>11.464727</v>
      </c>
      <c r="C230">
        <v>18.087</v>
      </c>
      <c r="D230">
        <f t="shared" si="17"/>
        <v>15.230986222222519</v>
      </c>
      <c r="R230" s="8"/>
      <c r="S230" s="8"/>
      <c r="T230" s="8"/>
      <c r="W230" s="7"/>
      <c r="X230" s="7"/>
    </row>
    <row r="231" spans="1:24">
      <c r="A231">
        <v>2.77</v>
      </c>
      <c r="B231">
        <v>9.1638179999999991</v>
      </c>
      <c r="C231">
        <v>17.407817999999999</v>
      </c>
      <c r="D231">
        <f t="shared" si="17"/>
        <v>21.435990942960675</v>
      </c>
      <c r="R231" s="8"/>
      <c r="S231" s="8"/>
      <c r="T231" s="8"/>
      <c r="W231" s="7"/>
      <c r="X231" s="7"/>
    </row>
    <row r="232" spans="1:24">
      <c r="A232">
        <v>2.78</v>
      </c>
      <c r="B232">
        <v>9.0574549999999991</v>
      </c>
      <c r="C232">
        <v>20.982399999999998</v>
      </c>
      <c r="D232">
        <f t="shared" si="17"/>
        <v>28.065305920953286</v>
      </c>
      <c r="R232" s="8"/>
      <c r="S232" s="8"/>
      <c r="T232" s="8"/>
      <c r="W232" s="7"/>
      <c r="X232" s="7"/>
    </row>
    <row r="233" spans="1:24">
      <c r="A233">
        <v>2.79</v>
      </c>
      <c r="B233">
        <v>7.1792220000000002</v>
      </c>
      <c r="C233">
        <v>18.659272999999999</v>
      </c>
      <c r="D233">
        <f t="shared" si="17"/>
        <v>31.909025828947929</v>
      </c>
      <c r="R233" s="8"/>
      <c r="S233" s="8"/>
      <c r="T233" s="8"/>
      <c r="W233" s="7"/>
      <c r="X233" s="7"/>
    </row>
    <row r="234" spans="1:24">
      <c r="A234">
        <v>2.8</v>
      </c>
      <c r="B234">
        <v>7.8810909999999996</v>
      </c>
      <c r="C234">
        <v>23.506</v>
      </c>
      <c r="D234">
        <f t="shared" si="17"/>
        <v>36.507106895862407</v>
      </c>
      <c r="R234" s="8"/>
      <c r="S234" s="8"/>
      <c r="T234" s="8"/>
      <c r="W234" s="7"/>
      <c r="X234" s="7"/>
    </row>
    <row r="235" spans="1:24">
      <c r="A235">
        <v>2.81</v>
      </c>
      <c r="B235">
        <v>5.9329090000000004</v>
      </c>
      <c r="C235">
        <v>19.958908999999998</v>
      </c>
      <c r="D235">
        <f t="shared" si="17"/>
        <v>40.528393150660278</v>
      </c>
      <c r="R235" s="8"/>
      <c r="S235" s="8"/>
      <c r="T235" s="8"/>
      <c r="W235" s="7"/>
      <c r="X235" s="7"/>
    </row>
    <row r="236" spans="1:24">
      <c r="A236">
        <v>2.82</v>
      </c>
      <c r="B236">
        <v>5.3488179999999996</v>
      </c>
      <c r="C236">
        <v>19.794667</v>
      </c>
      <c r="D236">
        <f t="shared" si="17"/>
        <v>43.714644568211249</v>
      </c>
      <c r="R236" s="8"/>
      <c r="S236" s="8"/>
      <c r="T236" s="8"/>
      <c r="W236" s="7"/>
      <c r="X236" s="7"/>
    </row>
    <row r="237" spans="1:24">
      <c r="A237">
        <v>2.83</v>
      </c>
      <c r="B237">
        <v>5.5789</v>
      </c>
      <c r="C237">
        <v>22.364182</v>
      </c>
      <c r="D237">
        <f t="shared" si="17"/>
        <v>46.384957000367116</v>
      </c>
      <c r="R237" s="8"/>
      <c r="S237" s="8"/>
      <c r="T237" s="8"/>
      <c r="W237" s="7"/>
      <c r="X237" s="7"/>
    </row>
    <row r="238" spans="1:24">
      <c r="A238">
        <v>2.84</v>
      </c>
      <c r="B238">
        <v>4.539364</v>
      </c>
      <c r="C238">
        <v>19.388909000000002</v>
      </c>
      <c r="D238">
        <f t="shared" si="17"/>
        <v>48.504489478716664</v>
      </c>
      <c r="R238" s="8"/>
      <c r="S238" s="8"/>
      <c r="T238" s="8"/>
      <c r="W238" s="7"/>
      <c r="X238" s="7"/>
    </row>
    <row r="239" spans="1:24">
      <c r="A239">
        <v>2.85</v>
      </c>
      <c r="B239">
        <v>4.5547269999999997</v>
      </c>
      <c r="C239">
        <v>20.3108</v>
      </c>
      <c r="D239">
        <f t="shared" si="17"/>
        <v>49.943436787003378</v>
      </c>
      <c r="R239" s="8"/>
      <c r="S239" s="8"/>
      <c r="T239" s="8"/>
      <c r="W239" s="7"/>
      <c r="X239" s="7"/>
    </row>
    <row r="240" spans="1:24">
      <c r="A240">
        <v>2.86</v>
      </c>
      <c r="B240">
        <v>4.2996359999999996</v>
      </c>
      <c r="C240">
        <v>19.768363999999998</v>
      </c>
      <c r="D240">
        <f t="shared" si="17"/>
        <v>50.964541442593195</v>
      </c>
      <c r="R240" s="8"/>
      <c r="S240" s="8"/>
      <c r="T240" s="8"/>
      <c r="W240" s="7"/>
      <c r="X240" s="7"/>
    </row>
    <row r="241" spans="1:24">
      <c r="A241">
        <v>2.87</v>
      </c>
      <c r="B241">
        <v>4.170636</v>
      </c>
      <c r="C241">
        <v>19.615455000000001</v>
      </c>
      <c r="D241">
        <f t="shared" si="17"/>
        <v>51.722776833270707</v>
      </c>
      <c r="R241" s="8"/>
      <c r="S241" s="8"/>
      <c r="T241" s="8"/>
      <c r="W241" s="7"/>
      <c r="X241" s="7"/>
    </row>
    <row r="242" spans="1:24">
      <c r="A242">
        <v>2.88</v>
      </c>
      <c r="B242">
        <v>4.1339090000000001</v>
      </c>
      <c r="C242">
        <v>19.677273</v>
      </c>
      <c r="D242">
        <f t="shared" si="17"/>
        <v>52.123384520435003</v>
      </c>
      <c r="R242" s="8"/>
      <c r="S242" s="8"/>
      <c r="T242" s="8"/>
      <c r="W242" s="7"/>
      <c r="X242" s="7"/>
    </row>
    <row r="243" spans="1:24">
      <c r="A243">
        <v>2.89</v>
      </c>
      <c r="B243">
        <v>3.9249999999999998</v>
      </c>
      <c r="C243">
        <v>18.783999999999999</v>
      </c>
      <c r="D243">
        <f t="shared" si="17"/>
        <v>52.303724498942245</v>
      </c>
      <c r="R243" s="8"/>
      <c r="S243" s="8"/>
      <c r="T243" s="8"/>
      <c r="W243" s="7"/>
      <c r="X243" s="7"/>
    </row>
    <row r="244" spans="1:24">
      <c r="A244">
        <v>2.9</v>
      </c>
      <c r="B244">
        <v>3.7338179999999999</v>
      </c>
      <c r="C244">
        <v>17.908363999999999</v>
      </c>
      <c r="D244">
        <f t="shared" si="17"/>
        <v>52.377136009112185</v>
      </c>
      <c r="H244" s="3"/>
      <c r="R244" s="8"/>
      <c r="S244" s="8"/>
      <c r="T244" s="8"/>
      <c r="W244" s="7"/>
      <c r="X244" s="7"/>
    </row>
    <row r="245" spans="1:24">
      <c r="A245">
        <v>2.91</v>
      </c>
      <c r="B245">
        <v>3.8314550000000001</v>
      </c>
      <c r="C245">
        <v>18.206444000000001</v>
      </c>
      <c r="D245">
        <f t="shared" si="17"/>
        <v>52.066261574385067</v>
      </c>
      <c r="H245" s="3"/>
      <c r="R245" s="8"/>
      <c r="S245" s="8"/>
      <c r="T245" s="8"/>
      <c r="W245" s="7"/>
      <c r="X245" s="7"/>
    </row>
    <row r="246" spans="1:24">
      <c r="A246">
        <v>2.92</v>
      </c>
      <c r="B246">
        <v>3.7530450000000002</v>
      </c>
      <c r="C246">
        <v>17.729111</v>
      </c>
      <c r="D246">
        <f t="shared" si="17"/>
        <v>51.86947594952936</v>
      </c>
      <c r="H246" s="3"/>
      <c r="R246" s="8"/>
      <c r="S246" s="8"/>
      <c r="T246" s="8"/>
      <c r="W246" s="7"/>
      <c r="X246" s="7"/>
    </row>
    <row r="247" spans="1:24">
      <c r="A247">
        <v>2.93</v>
      </c>
      <c r="B247">
        <v>3.7292999999999998</v>
      </c>
      <c r="C247">
        <v>17.347273000000001</v>
      </c>
      <c r="D247">
        <f t="shared" si="17"/>
        <v>51.354145539106383</v>
      </c>
      <c r="H247" s="3"/>
      <c r="R247" s="8"/>
      <c r="S247" s="8"/>
      <c r="T247" s="8"/>
      <c r="W247" s="7"/>
      <c r="X247" s="7"/>
    </row>
    <row r="248" spans="1:24">
      <c r="A248">
        <v>2.94</v>
      </c>
      <c r="B248">
        <v>3.6933180000000001</v>
      </c>
      <c r="C248">
        <v>16.794544999999999</v>
      </c>
      <c r="D248">
        <f t="shared" si="17"/>
        <v>50.596272287156538</v>
      </c>
      <c r="H248" s="3"/>
      <c r="R248" s="8"/>
      <c r="S248" s="8"/>
      <c r="T248" s="8"/>
      <c r="W248" s="7"/>
      <c r="X248" s="7"/>
    </row>
    <row r="249" spans="1:24">
      <c r="A249">
        <v>2.95</v>
      </c>
      <c r="B249">
        <v>3.6271360000000001</v>
      </c>
      <c r="C249">
        <v>16.108909000000001</v>
      </c>
      <c r="D249">
        <f t="shared" si="17"/>
        <v>49.807868334553248</v>
      </c>
      <c r="H249" s="3"/>
      <c r="R249" s="8"/>
      <c r="S249" s="8"/>
      <c r="T249" s="8"/>
      <c r="W249" s="7"/>
      <c r="X249" s="7"/>
    </row>
    <row r="250" spans="1:24">
      <c r="A250">
        <v>2.96</v>
      </c>
      <c r="B250">
        <v>3.7057730000000002</v>
      </c>
      <c r="C250">
        <v>16.008199999999999</v>
      </c>
      <c r="D250">
        <f t="shared" si="17"/>
        <v>48.88182221615903</v>
      </c>
      <c r="H250" s="3"/>
      <c r="R250" s="8"/>
      <c r="S250" s="8"/>
      <c r="T250" s="8"/>
      <c r="W250" s="7"/>
      <c r="X250" s="7"/>
    </row>
    <row r="251" spans="1:24">
      <c r="A251">
        <v>2.97</v>
      </c>
      <c r="B251">
        <v>3.6477499999999998</v>
      </c>
      <c r="C251">
        <v>15.347091000000001</v>
      </c>
      <c r="D251">
        <f t="shared" si="17"/>
        <v>48.000077086693295</v>
      </c>
      <c r="H251" s="3"/>
      <c r="R251" s="8"/>
      <c r="S251" s="8"/>
      <c r="T251" s="8"/>
      <c r="W251" s="7"/>
      <c r="X251" s="7"/>
    </row>
    <row r="252" spans="1:24">
      <c r="A252">
        <v>2.98</v>
      </c>
      <c r="B252">
        <v>3.6895910000000001</v>
      </c>
      <c r="C252">
        <v>14.9894</v>
      </c>
      <c r="D252">
        <f t="shared" si="17"/>
        <v>46.831232529887728</v>
      </c>
      <c r="H252" s="3"/>
      <c r="R252" s="8"/>
      <c r="S252" s="8"/>
      <c r="T252" s="8"/>
      <c r="W252" s="7"/>
      <c r="X252" s="7"/>
    </row>
    <row r="253" spans="1:24">
      <c r="A253">
        <v>2.99</v>
      </c>
      <c r="B253">
        <v>3.7696000000000001</v>
      </c>
      <c r="C253">
        <v>14.790727</v>
      </c>
      <c r="D253">
        <f t="shared" si="17"/>
        <v>45.668788644197392</v>
      </c>
      <c r="H253" s="3"/>
      <c r="R253" s="8"/>
      <c r="S253" s="8"/>
      <c r="T253" s="8"/>
      <c r="W253" s="7"/>
      <c r="X253" s="7"/>
    </row>
    <row r="254" spans="1:24">
      <c r="A254">
        <v>3</v>
      </c>
      <c r="B254">
        <v>3.7429999999999999</v>
      </c>
      <c r="C254">
        <v>14.137817999999999</v>
      </c>
      <c r="D254">
        <f t="shared" si="17"/>
        <v>44.397119958087032</v>
      </c>
      <c r="H254" s="3"/>
      <c r="R254" s="8"/>
      <c r="S254" s="8"/>
      <c r="T254" s="8"/>
      <c r="W254" s="7"/>
      <c r="X254" s="7"/>
    </row>
    <row r="255" spans="1:24">
      <c r="D255"/>
      <c r="H255" s="3"/>
      <c r="R255" s="8"/>
      <c r="S255" s="8"/>
      <c r="T255" s="8"/>
      <c r="W255" s="7"/>
      <c r="X255" s="7"/>
    </row>
    <row r="256" spans="1:24">
      <c r="D256"/>
      <c r="H256" s="3"/>
      <c r="R256" s="8"/>
      <c r="S256" s="8"/>
      <c r="T256" s="8"/>
      <c r="W256" s="7"/>
      <c r="X256" s="7"/>
    </row>
    <row r="257" spans="4:24">
      <c r="D257"/>
      <c r="H257" s="3"/>
      <c r="R257" s="8"/>
      <c r="S257" s="8"/>
      <c r="T257" s="8"/>
      <c r="W257" s="7"/>
      <c r="X257" s="7"/>
    </row>
    <row r="258" spans="4:24">
      <c r="D258"/>
      <c r="H258" s="3"/>
      <c r="R258" s="8"/>
      <c r="S258" s="8"/>
      <c r="T258" s="8"/>
      <c r="W258" s="7"/>
      <c r="X258" s="7"/>
    </row>
    <row r="259" spans="4:24">
      <c r="D259"/>
      <c r="H259" s="3"/>
      <c r="R259" s="8"/>
      <c r="S259" s="8"/>
      <c r="T259" s="8"/>
      <c r="W259" s="7"/>
      <c r="X259" s="7"/>
    </row>
    <row r="260" spans="4:24">
      <c r="D260"/>
      <c r="H260" s="3"/>
      <c r="R260" s="8"/>
      <c r="S260" s="8"/>
      <c r="T260" s="8"/>
      <c r="W260" s="7"/>
      <c r="X260" s="7"/>
    </row>
    <row r="261" spans="4:24">
      <c r="D261"/>
      <c r="H261" s="3"/>
      <c r="R261" s="8"/>
      <c r="S261" s="8"/>
      <c r="T261" s="8"/>
      <c r="W261" s="7"/>
      <c r="X261" s="7"/>
    </row>
    <row r="262" spans="4:24">
      <c r="D262"/>
      <c r="H262" s="3"/>
      <c r="R262" s="8"/>
      <c r="S262" s="8"/>
      <c r="T262" s="8"/>
      <c r="W262" s="7"/>
      <c r="X262" s="7"/>
    </row>
    <row r="263" spans="4:24">
      <c r="D263"/>
      <c r="H263" s="3"/>
      <c r="R263" s="8"/>
      <c r="S263" s="8"/>
      <c r="T263" s="8"/>
      <c r="W263" s="7"/>
      <c r="X263" s="7"/>
    </row>
    <row r="264" spans="4:24">
      <c r="D264"/>
      <c r="H264" s="3"/>
      <c r="R264" s="8"/>
      <c r="S264" s="8"/>
      <c r="T264" s="8"/>
      <c r="W264" s="7"/>
      <c r="X264" s="7"/>
    </row>
    <row r="265" spans="4:24">
      <c r="D265"/>
      <c r="H265" s="3"/>
      <c r="R265" s="8"/>
      <c r="S265" s="8"/>
      <c r="T265" s="8"/>
      <c r="W265" s="7"/>
      <c r="X265" s="7"/>
    </row>
    <row r="266" spans="4:24">
      <c r="D266"/>
      <c r="H266" s="3"/>
      <c r="R266" s="8"/>
      <c r="S266" s="8"/>
      <c r="T266" s="8"/>
      <c r="W266" s="7"/>
      <c r="X266" s="7"/>
    </row>
    <row r="267" spans="4:24">
      <c r="D267"/>
      <c r="H267" s="3"/>
      <c r="R267" s="8"/>
      <c r="S267" s="8"/>
      <c r="T267" s="8"/>
      <c r="W267" s="7"/>
      <c r="X267" s="7"/>
    </row>
    <row r="268" spans="4:24">
      <c r="D268"/>
      <c r="H268" s="3"/>
      <c r="R268" s="8"/>
      <c r="S268" s="8"/>
      <c r="T268" s="8"/>
      <c r="W268" s="7"/>
      <c r="X268" s="7"/>
    </row>
    <row r="269" spans="4:24">
      <c r="D269"/>
      <c r="H269" s="3"/>
      <c r="R269" s="8"/>
      <c r="S269" s="8"/>
      <c r="T269" s="8"/>
      <c r="W269" s="7"/>
      <c r="X269" s="7"/>
    </row>
    <row r="270" spans="4:24">
      <c r="D270"/>
      <c r="H270" s="3"/>
      <c r="R270" s="8"/>
      <c r="S270" s="8"/>
      <c r="T270" s="8"/>
      <c r="W270" s="7"/>
      <c r="X270" s="7"/>
    </row>
    <row r="271" spans="4:24">
      <c r="D271"/>
      <c r="H271" s="3"/>
      <c r="R271" s="8"/>
      <c r="S271" s="8"/>
      <c r="T271" s="8"/>
      <c r="W271" s="7"/>
      <c r="X271" s="7"/>
    </row>
    <row r="272" spans="4:24">
      <c r="D272"/>
      <c r="H272" s="3"/>
      <c r="R272" s="8"/>
      <c r="S272" s="8"/>
      <c r="T272" s="8"/>
      <c r="W272" s="7"/>
      <c r="X272" s="7"/>
    </row>
    <row r="273" spans="4:24">
      <c r="D273"/>
      <c r="H273" s="3"/>
      <c r="R273" s="8"/>
      <c r="S273" s="8"/>
      <c r="T273" s="8"/>
      <c r="W273" s="7"/>
      <c r="X273" s="7"/>
    </row>
    <row r="274" spans="4:24">
      <c r="D274"/>
      <c r="H274" s="3"/>
      <c r="R274" s="8"/>
      <c r="S274" s="8"/>
      <c r="T274" s="8"/>
      <c r="W274" s="7"/>
      <c r="X274" s="7"/>
    </row>
    <row r="275" spans="4:24">
      <c r="D275"/>
      <c r="H275" s="3"/>
      <c r="R275" s="8"/>
      <c r="S275" s="8"/>
      <c r="T275" s="8"/>
      <c r="W275" s="7"/>
      <c r="X275" s="7"/>
    </row>
    <row r="276" spans="4:24">
      <c r="D276"/>
      <c r="H276" s="3"/>
      <c r="R276" s="8"/>
      <c r="S276" s="8"/>
      <c r="T276" s="8"/>
      <c r="W276" s="7"/>
      <c r="X276" s="7"/>
    </row>
    <row r="277" spans="4:24">
      <c r="D277"/>
      <c r="H277" s="3"/>
      <c r="R277" s="8"/>
      <c r="S277" s="8"/>
      <c r="T277" s="8"/>
      <c r="W277" s="7"/>
      <c r="X277" s="7"/>
    </row>
    <row r="278" spans="4:24">
      <c r="D278"/>
      <c r="H278" s="3"/>
      <c r="R278" s="8"/>
      <c r="S278" s="8"/>
      <c r="T278" s="8"/>
      <c r="W278" s="7"/>
      <c r="X278" s="7"/>
    </row>
    <row r="279" spans="4:24">
      <c r="D279"/>
      <c r="H279" s="3"/>
      <c r="R279" s="8"/>
      <c r="S279" s="8"/>
      <c r="T279" s="8"/>
      <c r="W279" s="7"/>
      <c r="X279" s="7"/>
    </row>
    <row r="280" spans="4:24">
      <c r="D280"/>
      <c r="H280" s="3"/>
      <c r="R280" s="8"/>
      <c r="S280" s="8"/>
      <c r="T280" s="8"/>
      <c r="W280" s="7"/>
      <c r="X280" s="7"/>
    </row>
    <row r="281" spans="4:24">
      <c r="D281"/>
      <c r="H281" s="3"/>
      <c r="R281" s="8"/>
      <c r="S281" s="8"/>
      <c r="T281" s="8"/>
      <c r="W281" s="7"/>
      <c r="X281" s="7"/>
    </row>
    <row r="282" spans="4:24">
      <c r="D282"/>
      <c r="H282" s="3"/>
      <c r="R282" s="8"/>
      <c r="S282" s="8"/>
      <c r="T282" s="8"/>
      <c r="W282" s="7"/>
      <c r="X282" s="7"/>
    </row>
    <row r="283" spans="4:24">
      <c r="D283"/>
      <c r="H283" s="3"/>
      <c r="R283" s="8"/>
      <c r="S283" s="8"/>
      <c r="T283" s="8"/>
      <c r="W283" s="7"/>
      <c r="X283" s="7"/>
    </row>
    <row r="284" spans="4:24">
      <c r="D284"/>
      <c r="H284" s="3"/>
      <c r="R284" s="8"/>
      <c r="S284" s="8"/>
      <c r="T284" s="8"/>
      <c r="W284" s="7"/>
      <c r="X284" s="7"/>
    </row>
    <row r="285" spans="4:24">
      <c r="D285"/>
      <c r="H285" s="3"/>
      <c r="R285" s="8"/>
      <c r="S285" s="8"/>
      <c r="T285" s="8"/>
      <c r="W285" s="7"/>
      <c r="X285" s="7"/>
    </row>
    <row r="286" spans="4:24">
      <c r="D286"/>
      <c r="H286" s="3"/>
      <c r="R286" s="8"/>
      <c r="S286" s="8"/>
      <c r="T286" s="8"/>
      <c r="W286" s="7"/>
      <c r="X286" s="7"/>
    </row>
    <row r="287" spans="4:24">
      <c r="D287"/>
      <c r="H287" s="3"/>
      <c r="R287" s="8"/>
      <c r="S287" s="8"/>
      <c r="T287" s="8"/>
      <c r="W287" s="7"/>
      <c r="X287" s="7"/>
    </row>
    <row r="288" spans="4:24">
      <c r="D288"/>
      <c r="H288" s="3"/>
      <c r="R288" s="8"/>
      <c r="S288" s="8"/>
      <c r="T288" s="8"/>
      <c r="W288" s="7"/>
      <c r="X288" s="7"/>
    </row>
    <row r="289" spans="4:24">
      <c r="D289"/>
      <c r="H289" s="3"/>
      <c r="R289" s="8"/>
      <c r="S289" s="8"/>
      <c r="T289" s="8"/>
      <c r="W289" s="7"/>
      <c r="X289" s="7"/>
    </row>
    <row r="290" spans="4:24">
      <c r="D290"/>
      <c r="H290" s="3"/>
      <c r="R290" s="8"/>
      <c r="S290" s="8"/>
      <c r="T290" s="8"/>
      <c r="W290" s="7"/>
      <c r="X290" s="7"/>
    </row>
    <row r="291" spans="4:24">
      <c r="D291"/>
      <c r="H291" s="3"/>
      <c r="R291" s="8"/>
      <c r="S291" s="8"/>
      <c r="T291" s="8"/>
      <c r="W291" s="7"/>
      <c r="X291" s="7"/>
    </row>
    <row r="292" spans="4:24">
      <c r="D292"/>
      <c r="H292" s="3"/>
      <c r="R292" s="8"/>
      <c r="S292" s="8"/>
      <c r="T292" s="8"/>
      <c r="W292" s="7"/>
      <c r="X292" s="7"/>
    </row>
    <row r="293" spans="4:24">
      <c r="D293"/>
      <c r="H293" s="3"/>
      <c r="R293" s="8"/>
      <c r="S293" s="8"/>
      <c r="T293" s="8"/>
      <c r="W293" s="7"/>
      <c r="X293" s="7"/>
    </row>
    <row r="294" spans="4:24">
      <c r="D294"/>
      <c r="H294" s="3"/>
      <c r="R294" s="8"/>
      <c r="S294" s="8"/>
      <c r="T294" s="8"/>
      <c r="W294" s="7"/>
      <c r="X294" s="7"/>
    </row>
    <row r="295" spans="4:24">
      <c r="D295"/>
      <c r="H295" s="3"/>
      <c r="R295" s="8"/>
      <c r="S295" s="8"/>
      <c r="T295" s="8"/>
      <c r="W295" s="7"/>
      <c r="X295" s="7"/>
    </row>
    <row r="296" spans="4:24">
      <c r="D296"/>
      <c r="H296" s="3"/>
      <c r="R296" s="8"/>
      <c r="S296" s="8"/>
      <c r="T296" s="8"/>
      <c r="W296" s="7"/>
      <c r="X296" s="7"/>
    </row>
    <row r="297" spans="4:24">
      <c r="D297"/>
      <c r="H297" s="3"/>
      <c r="R297" s="8"/>
      <c r="S297" s="8"/>
      <c r="T297" s="8"/>
      <c r="W297" s="7"/>
      <c r="X297" s="7"/>
    </row>
    <row r="298" spans="4:24">
      <c r="D298"/>
      <c r="H298" s="3"/>
      <c r="R298" s="8"/>
      <c r="S298" s="8"/>
      <c r="T298" s="8"/>
      <c r="W298" s="7"/>
      <c r="X298" s="7"/>
    </row>
    <row r="299" spans="4:24">
      <c r="D299"/>
      <c r="H299" s="3"/>
      <c r="R299" s="8"/>
      <c r="S299" s="8"/>
      <c r="T299" s="8"/>
      <c r="W299" s="7"/>
      <c r="X299" s="7"/>
    </row>
    <row r="300" spans="4:24">
      <c r="D300"/>
      <c r="H300" s="3"/>
      <c r="R300" s="8"/>
      <c r="S300" s="8"/>
      <c r="T300" s="8"/>
      <c r="W300" s="7"/>
      <c r="X300" s="7"/>
    </row>
    <row r="301" spans="4:24">
      <c r="D301"/>
      <c r="H301" s="3"/>
      <c r="R301" s="8"/>
      <c r="S301" s="8"/>
      <c r="T301" s="8"/>
      <c r="W301" s="7"/>
      <c r="X301" s="7"/>
    </row>
    <row r="302" spans="4:24">
      <c r="D302"/>
      <c r="H302" s="3"/>
      <c r="R302" s="8"/>
      <c r="S302" s="8"/>
      <c r="T302" s="8"/>
      <c r="W302" s="7"/>
      <c r="X302" s="7"/>
    </row>
    <row r="303" spans="4:24">
      <c r="D303"/>
      <c r="H303" s="3"/>
      <c r="R303" s="8"/>
      <c r="S303" s="8"/>
      <c r="T303" s="8"/>
      <c r="W303" s="7"/>
      <c r="X303" s="7"/>
    </row>
    <row r="304" spans="4:24">
      <c r="D304"/>
      <c r="H304" s="3"/>
      <c r="R304" s="8"/>
      <c r="S304" s="8"/>
      <c r="T304" s="8"/>
      <c r="W304" s="7"/>
      <c r="X304" s="7"/>
    </row>
    <row r="305" spans="4:24">
      <c r="D305"/>
      <c r="H305" s="3"/>
      <c r="R305" s="8"/>
      <c r="S305" s="8"/>
      <c r="T305" s="8"/>
      <c r="W305" s="7"/>
      <c r="X305" s="7"/>
    </row>
    <row r="306" spans="4:24">
      <c r="D306"/>
      <c r="H306" s="3"/>
      <c r="R306" s="8"/>
      <c r="S306" s="8"/>
      <c r="T306" s="8"/>
      <c r="W306" s="7"/>
      <c r="X306" s="7"/>
    </row>
    <row r="307" spans="4:24">
      <c r="D307"/>
      <c r="H307" s="3"/>
      <c r="R307" s="8"/>
      <c r="S307" s="8"/>
      <c r="T307" s="8"/>
      <c r="W307" s="7"/>
      <c r="X307" s="7"/>
    </row>
    <row r="308" spans="4:24">
      <c r="D308"/>
      <c r="H308" s="3"/>
      <c r="R308" s="8"/>
      <c r="S308" s="8"/>
      <c r="T308" s="8"/>
      <c r="W308" s="7"/>
      <c r="X308" s="7"/>
    </row>
    <row r="309" spans="4:24">
      <c r="D309"/>
      <c r="H309" s="3"/>
      <c r="R309" s="8"/>
      <c r="S309" s="8"/>
      <c r="T309" s="8"/>
      <c r="W309" s="7"/>
      <c r="X309" s="7"/>
    </row>
    <row r="310" spans="4:24">
      <c r="D310"/>
      <c r="H310" s="3"/>
      <c r="R310" s="8"/>
      <c r="S310" s="8"/>
      <c r="T310" s="8"/>
      <c r="W310" s="7"/>
      <c r="X310" s="7"/>
    </row>
    <row r="311" spans="4:24">
      <c r="D311"/>
      <c r="H311" s="3"/>
      <c r="R311" s="8"/>
      <c r="S311" s="8"/>
      <c r="T311" s="8"/>
      <c r="W311" s="7"/>
      <c r="X311" s="7"/>
    </row>
    <row r="312" spans="4:24">
      <c r="D312"/>
      <c r="H312" s="3"/>
      <c r="R312" s="8"/>
      <c r="S312" s="8"/>
      <c r="T312" s="8"/>
      <c r="W312" s="7"/>
      <c r="X312" s="7"/>
    </row>
    <row r="313" spans="4:24">
      <c r="D313"/>
      <c r="H313" s="3"/>
      <c r="R313" s="8"/>
      <c r="S313" s="8"/>
      <c r="T313" s="8"/>
      <c r="W313" s="7"/>
      <c r="X313" s="7"/>
    </row>
    <row r="314" spans="4:24">
      <c r="D314"/>
      <c r="H314" s="3"/>
      <c r="R314" s="8"/>
      <c r="S314" s="8"/>
      <c r="T314" s="8"/>
      <c r="W314" s="7"/>
      <c r="X314" s="7"/>
    </row>
    <row r="315" spans="4:24">
      <c r="D315"/>
      <c r="H315" s="3"/>
      <c r="R315" s="8"/>
      <c r="S315" s="8"/>
      <c r="T315" s="8"/>
      <c r="W315" s="7"/>
      <c r="X315" s="7"/>
    </row>
    <row r="316" spans="4:24">
      <c r="D316"/>
      <c r="H316" s="3"/>
      <c r="R316" s="8"/>
      <c r="S316" s="8"/>
      <c r="T316" s="8"/>
      <c r="W316" s="7"/>
      <c r="X316" s="7"/>
    </row>
    <row r="317" spans="4:24">
      <c r="D317"/>
      <c r="H317" s="3"/>
      <c r="R317" s="8"/>
      <c r="S317" s="8"/>
      <c r="T317" s="8"/>
      <c r="W317" s="7"/>
      <c r="X317" s="7"/>
    </row>
    <row r="318" spans="4:24">
      <c r="D318"/>
      <c r="H318" s="3"/>
      <c r="R318" s="8"/>
      <c r="S318" s="8"/>
      <c r="T318" s="8"/>
      <c r="W318" s="7"/>
      <c r="X318" s="7"/>
    </row>
    <row r="319" spans="4:24">
      <c r="D319"/>
      <c r="H319" s="3"/>
      <c r="R319" s="8"/>
      <c r="S319" s="8"/>
      <c r="T319" s="8"/>
      <c r="W319" s="7"/>
      <c r="X319" s="7"/>
    </row>
    <row r="320" spans="4:24">
      <c r="D320"/>
      <c r="H320" s="3"/>
      <c r="R320" s="8"/>
      <c r="S320" s="8"/>
      <c r="T320" s="8"/>
      <c r="W320" s="7"/>
      <c r="X320" s="7"/>
    </row>
    <row r="321" spans="4:24">
      <c r="D321"/>
      <c r="H321" s="3"/>
      <c r="R321" s="8"/>
      <c r="S321" s="8"/>
      <c r="T321" s="8"/>
      <c r="W321" s="7"/>
      <c r="X321" s="7"/>
    </row>
    <row r="322" spans="4:24">
      <c r="D322"/>
      <c r="H322" s="3"/>
      <c r="R322" s="8"/>
      <c r="S322" s="8"/>
      <c r="T322" s="8"/>
      <c r="W322" s="7"/>
      <c r="X322" s="7"/>
    </row>
    <row r="323" spans="4:24">
      <c r="D323"/>
      <c r="H323" s="3"/>
      <c r="R323" s="8"/>
      <c r="S323" s="8"/>
      <c r="T323" s="8"/>
      <c r="W323" s="7"/>
      <c r="X323" s="7"/>
    </row>
    <row r="324" spans="4:24">
      <c r="D324"/>
      <c r="H324" s="3"/>
      <c r="R324" s="8"/>
      <c r="S324" s="8"/>
      <c r="T324" s="8"/>
      <c r="W324" s="7"/>
      <c r="X324" s="7"/>
    </row>
    <row r="325" spans="4:24">
      <c r="D325"/>
      <c r="H325" s="3"/>
      <c r="R325" s="8"/>
      <c r="S325" s="8"/>
      <c r="T325" s="8"/>
      <c r="W325" s="7"/>
      <c r="X325" s="7"/>
    </row>
    <row r="326" spans="4:24">
      <c r="D326"/>
      <c r="H326" s="3"/>
      <c r="R326" s="8"/>
      <c r="S326" s="8"/>
      <c r="T326" s="8"/>
      <c r="W326" s="7"/>
      <c r="X326" s="7"/>
    </row>
    <row r="327" spans="4:24">
      <c r="D327"/>
      <c r="H327" s="3"/>
      <c r="R327" s="8"/>
      <c r="S327" s="8"/>
      <c r="T327" s="8"/>
      <c r="W327" s="7"/>
      <c r="X327" s="7"/>
    </row>
    <row r="328" spans="4:24">
      <c r="D328"/>
      <c r="H328" s="3"/>
      <c r="R328" s="8"/>
      <c r="S328" s="8"/>
      <c r="T328" s="8"/>
      <c r="W328" s="7"/>
      <c r="X328" s="7"/>
    </row>
    <row r="329" spans="4:24">
      <c r="D329"/>
      <c r="H329" s="3"/>
      <c r="R329" s="8"/>
      <c r="S329" s="8"/>
      <c r="T329" s="8"/>
      <c r="W329" s="7"/>
      <c r="X329" s="7"/>
    </row>
    <row r="330" spans="4:24">
      <c r="D330"/>
      <c r="H330" s="3"/>
      <c r="R330" s="8"/>
      <c r="S330" s="8"/>
      <c r="T330" s="8"/>
      <c r="W330" s="7"/>
      <c r="X330" s="7"/>
    </row>
    <row r="331" spans="4:24">
      <c r="D331"/>
      <c r="H331" s="3"/>
      <c r="R331" s="8"/>
      <c r="S331" s="8"/>
      <c r="T331" s="8"/>
      <c r="W331" s="7"/>
      <c r="X331" s="7"/>
    </row>
    <row r="332" spans="4:24">
      <c r="D332"/>
      <c r="H332" s="3"/>
      <c r="R332" s="8"/>
      <c r="S332" s="8"/>
      <c r="T332" s="8"/>
      <c r="W332" s="7"/>
      <c r="X332" s="7"/>
    </row>
    <row r="333" spans="4:24">
      <c r="D333"/>
      <c r="H333" s="3"/>
      <c r="R333" s="8"/>
      <c r="S333" s="8"/>
      <c r="T333" s="8"/>
      <c r="W333" s="7"/>
      <c r="X333" s="7"/>
    </row>
    <row r="334" spans="4:24">
      <c r="D334"/>
      <c r="H334" s="3"/>
      <c r="R334" s="8"/>
      <c r="S334" s="8"/>
      <c r="T334" s="8"/>
      <c r="W334" s="7"/>
      <c r="X334" s="7"/>
    </row>
    <row r="335" spans="4:24">
      <c r="D335"/>
      <c r="H335" s="3"/>
      <c r="R335" s="8"/>
      <c r="S335" s="8"/>
      <c r="T335" s="8"/>
      <c r="W335" s="7"/>
      <c r="X335" s="7"/>
    </row>
    <row r="336" spans="4:24">
      <c r="D336"/>
      <c r="H336" s="3"/>
      <c r="R336" s="8"/>
      <c r="S336" s="8"/>
      <c r="T336" s="8"/>
      <c r="W336" s="7"/>
      <c r="X336" s="7"/>
    </row>
    <row r="337" spans="4:24">
      <c r="D337"/>
      <c r="H337" s="3"/>
      <c r="R337" s="8"/>
      <c r="S337" s="8"/>
      <c r="T337" s="8"/>
      <c r="W337" s="7"/>
      <c r="X337" s="7"/>
    </row>
    <row r="338" spans="4:24">
      <c r="D338"/>
      <c r="H338" s="3"/>
      <c r="R338" s="8"/>
      <c r="S338" s="8"/>
      <c r="T338" s="8"/>
      <c r="W338" s="7"/>
      <c r="X338" s="7"/>
    </row>
    <row r="339" spans="4:24">
      <c r="D339"/>
      <c r="H339" s="3"/>
      <c r="R339" s="8"/>
      <c r="S339" s="8"/>
      <c r="T339" s="8"/>
      <c r="W339" s="7"/>
      <c r="X339" s="7"/>
    </row>
    <row r="340" spans="4:24">
      <c r="D340"/>
      <c r="H340" s="3"/>
      <c r="R340" s="8"/>
      <c r="S340" s="8"/>
      <c r="T340" s="8"/>
      <c r="W340" s="7"/>
      <c r="X340" s="7"/>
    </row>
    <row r="341" spans="4:24">
      <c r="D341"/>
      <c r="H341" s="3"/>
      <c r="R341" s="8"/>
      <c r="S341" s="8"/>
      <c r="T341" s="8"/>
      <c r="W341" s="7"/>
      <c r="X341" s="7"/>
    </row>
    <row r="342" spans="4:24">
      <c r="D342"/>
      <c r="H342" s="3"/>
      <c r="R342" s="8"/>
      <c r="S342" s="8"/>
      <c r="T342" s="8"/>
      <c r="W342" s="7"/>
      <c r="X342" s="7"/>
    </row>
    <row r="343" spans="4:24">
      <c r="D343"/>
      <c r="H343" s="3"/>
      <c r="R343" s="8"/>
      <c r="S343" s="8"/>
      <c r="T343" s="8"/>
      <c r="W343" s="7"/>
      <c r="X343" s="7"/>
    </row>
    <row r="344" spans="4:24">
      <c r="D344"/>
      <c r="H344" s="3"/>
      <c r="R344" s="8"/>
      <c r="S344" s="8"/>
      <c r="T344" s="8"/>
      <c r="W344" s="7"/>
      <c r="X344" s="7"/>
    </row>
    <row r="345" spans="4:24">
      <c r="D345"/>
      <c r="H345" s="3"/>
      <c r="R345" s="8"/>
      <c r="S345" s="8"/>
      <c r="T345" s="8"/>
      <c r="W345" s="7"/>
      <c r="X345" s="7"/>
    </row>
    <row r="346" spans="4:24">
      <c r="D346"/>
      <c r="H346" s="3"/>
      <c r="R346" s="8"/>
      <c r="S346" s="8"/>
      <c r="T346" s="8"/>
      <c r="W346" s="7"/>
      <c r="X346" s="7"/>
    </row>
    <row r="347" spans="4:24">
      <c r="D347"/>
      <c r="H347" s="3"/>
      <c r="R347" s="8"/>
      <c r="S347" s="8"/>
      <c r="T347" s="8"/>
      <c r="W347" s="7"/>
      <c r="X347" s="7"/>
    </row>
    <row r="348" spans="4:24">
      <c r="D348"/>
      <c r="H348" s="3"/>
      <c r="R348" s="8"/>
      <c r="S348" s="8"/>
      <c r="T348" s="8"/>
      <c r="W348" s="7"/>
      <c r="X348" s="7"/>
    </row>
    <row r="349" spans="4:24">
      <c r="D349"/>
      <c r="H349" s="3"/>
      <c r="R349" s="8"/>
      <c r="S349" s="8"/>
      <c r="T349" s="8"/>
      <c r="W349" s="7"/>
      <c r="X349" s="7"/>
    </row>
    <row r="350" spans="4:24">
      <c r="D350"/>
      <c r="H350" s="3"/>
      <c r="R350" s="8"/>
      <c r="S350" s="8"/>
      <c r="T350" s="8"/>
      <c r="W350" s="7"/>
      <c r="X350" s="7"/>
    </row>
    <row r="351" spans="4:24">
      <c r="D351"/>
      <c r="H351" s="3"/>
      <c r="R351" s="8"/>
      <c r="S351" s="8"/>
      <c r="T351" s="8"/>
      <c r="W351" s="7"/>
      <c r="X351" s="7"/>
    </row>
    <row r="352" spans="4:24">
      <c r="D352"/>
      <c r="H352" s="3"/>
      <c r="R352" s="8"/>
      <c r="S352" s="8"/>
      <c r="T352" s="8"/>
      <c r="W352" s="7"/>
      <c r="X352" s="7"/>
    </row>
    <row r="353" spans="4:24">
      <c r="D353"/>
      <c r="H353" s="3"/>
      <c r="R353" s="8"/>
      <c r="S353" s="8"/>
      <c r="T353" s="8"/>
      <c r="W353" s="7"/>
      <c r="X353" s="7"/>
    </row>
    <row r="354" spans="4:24">
      <c r="D354"/>
      <c r="H354" s="3"/>
      <c r="R354" s="8"/>
      <c r="S354" s="8"/>
      <c r="T354" s="8"/>
      <c r="W354" s="7"/>
      <c r="X354" s="7"/>
    </row>
    <row r="355" spans="4:24">
      <c r="D355"/>
      <c r="H355" s="3"/>
      <c r="R355" s="8"/>
      <c r="S355" s="8"/>
      <c r="T355" s="8"/>
      <c r="W355" s="7"/>
      <c r="X355" s="7"/>
    </row>
    <row r="356" spans="4:24">
      <c r="D356"/>
      <c r="H356" s="3"/>
      <c r="R356" s="8"/>
      <c r="S356" s="8"/>
      <c r="T356" s="8"/>
      <c r="W356" s="7"/>
      <c r="X356" s="7"/>
    </row>
    <row r="357" spans="4:24">
      <c r="D357"/>
      <c r="H357" s="3"/>
      <c r="R357" s="8"/>
      <c r="S357" s="8"/>
      <c r="T357" s="8"/>
      <c r="W357" s="7"/>
      <c r="X357" s="7"/>
    </row>
    <row r="358" spans="4:24">
      <c r="D358"/>
      <c r="H358" s="3"/>
      <c r="R358" s="8"/>
      <c r="S358" s="8"/>
      <c r="T358" s="8"/>
      <c r="W358" s="7"/>
      <c r="X358" s="7"/>
    </row>
    <row r="359" spans="4:24">
      <c r="D359"/>
      <c r="H359" s="3"/>
      <c r="R359" s="8"/>
      <c r="S359" s="8"/>
      <c r="T359" s="8"/>
      <c r="W359" s="7"/>
      <c r="X359" s="7"/>
    </row>
    <row r="360" spans="4:24">
      <c r="D360"/>
      <c r="H360" s="3"/>
      <c r="R360" s="8"/>
      <c r="S360" s="8"/>
      <c r="T360" s="8"/>
      <c r="W360" s="7"/>
      <c r="X360" s="7"/>
    </row>
    <row r="361" spans="4:24">
      <c r="D361"/>
      <c r="R361" s="8"/>
      <c r="S361" s="8"/>
      <c r="T361" s="8"/>
      <c r="W361" s="7"/>
      <c r="X361" s="7"/>
    </row>
    <row r="362" spans="4:24">
      <c r="D362"/>
      <c r="R362" s="8"/>
      <c r="S362" s="8"/>
      <c r="T362" s="8"/>
      <c r="W362" s="7"/>
      <c r="X362" s="7"/>
    </row>
    <row r="363" spans="4:24">
      <c r="D363"/>
      <c r="R363" s="8"/>
      <c r="S363" s="8"/>
      <c r="T363" s="8"/>
      <c r="W363" s="7"/>
      <c r="X363" s="7"/>
    </row>
    <row r="364" spans="4:24">
      <c r="D364"/>
      <c r="R364" s="8"/>
      <c r="S364" s="8"/>
      <c r="T364" s="8"/>
      <c r="W364" s="7"/>
      <c r="X364" s="7"/>
    </row>
    <row r="365" spans="4:24">
      <c r="D365"/>
      <c r="R365" s="8"/>
      <c r="S365" s="8"/>
      <c r="T365" s="8"/>
      <c r="W365" s="7"/>
      <c r="X365" s="7"/>
    </row>
    <row r="366" spans="4:24">
      <c r="D366"/>
      <c r="R366" s="8"/>
      <c r="S366" s="8"/>
      <c r="T366" s="8"/>
      <c r="W366" s="7"/>
      <c r="X366" s="7"/>
    </row>
    <row r="367" spans="4:24">
      <c r="D367"/>
      <c r="R367" s="8"/>
      <c r="S367" s="8"/>
      <c r="T367" s="8"/>
      <c r="W367" s="7"/>
      <c r="X367" s="7"/>
    </row>
    <row r="368" spans="4:24">
      <c r="D368"/>
      <c r="R368" s="8"/>
      <c r="S368" s="8"/>
      <c r="T368" s="8"/>
      <c r="W368" s="7"/>
      <c r="X368" s="7"/>
    </row>
    <row r="369" spans="4:24">
      <c r="D369"/>
      <c r="R369" s="8"/>
      <c r="S369" s="8"/>
      <c r="T369" s="8"/>
      <c r="W369" s="7"/>
      <c r="X369" s="7"/>
    </row>
    <row r="370" spans="4:24">
      <c r="D370"/>
      <c r="R370" s="8"/>
      <c r="S370" s="8"/>
      <c r="T370" s="8"/>
      <c r="W370" s="7"/>
      <c r="X370" s="7"/>
    </row>
    <row r="371" spans="4:24">
      <c r="D371"/>
      <c r="R371" s="8"/>
      <c r="S371" s="8"/>
      <c r="T371" s="8"/>
      <c r="W371" s="7"/>
      <c r="X371" s="7"/>
    </row>
    <row r="372" spans="4:24">
      <c r="D372"/>
      <c r="R372" s="8"/>
      <c r="S372" s="8"/>
      <c r="T372" s="8"/>
      <c r="W372" s="7"/>
      <c r="X372" s="7"/>
    </row>
    <row r="373" spans="4:24">
      <c r="D373"/>
      <c r="R373" s="8"/>
      <c r="S373" s="8"/>
      <c r="T373" s="8"/>
      <c r="W373" s="7"/>
      <c r="X373" s="7"/>
    </row>
    <row r="374" spans="4:24">
      <c r="D374"/>
      <c r="R374" s="8"/>
      <c r="S374" s="8"/>
      <c r="T374" s="8"/>
      <c r="W374" s="7"/>
      <c r="X374" s="7"/>
    </row>
    <row r="375" spans="4:24">
      <c r="D375"/>
      <c r="R375" s="8"/>
      <c r="S375" s="8"/>
      <c r="T375" s="8"/>
      <c r="W375" s="7"/>
      <c r="X375" s="7"/>
    </row>
    <row r="376" spans="4:24">
      <c r="D376"/>
      <c r="R376" s="8"/>
      <c r="S376" s="8"/>
      <c r="T376" s="8"/>
      <c r="W376" s="7"/>
      <c r="X376" s="7"/>
    </row>
    <row r="377" spans="4:24">
      <c r="D377"/>
      <c r="R377" s="8"/>
      <c r="S377" s="8"/>
      <c r="T377" s="8"/>
      <c r="W377" s="7"/>
      <c r="X377" s="7"/>
    </row>
    <row r="378" spans="4:24">
      <c r="D378"/>
      <c r="R378" s="8"/>
      <c r="S378" s="8"/>
      <c r="T378" s="8"/>
      <c r="W378" s="7"/>
      <c r="X378" s="7"/>
    </row>
    <row r="379" spans="4:24">
      <c r="D379"/>
      <c r="R379" s="8"/>
      <c r="S379" s="8"/>
      <c r="T379" s="8"/>
      <c r="W379" s="7"/>
      <c r="X379" s="7"/>
    </row>
    <row r="380" spans="4:24">
      <c r="D380"/>
      <c r="R380" s="8"/>
      <c r="S380" s="8"/>
      <c r="T380" s="8"/>
      <c r="W380" s="7"/>
      <c r="X380" s="7"/>
    </row>
    <row r="381" spans="4:24">
      <c r="D381"/>
      <c r="R381" s="8"/>
      <c r="S381" s="8"/>
      <c r="T381" s="8"/>
      <c r="W381" s="7"/>
      <c r="X381" s="7"/>
    </row>
    <row r="382" spans="4:24">
      <c r="D382"/>
      <c r="R382" s="8"/>
      <c r="S382" s="8"/>
      <c r="T382" s="8"/>
      <c r="W382" s="7"/>
      <c r="X382" s="7"/>
    </row>
    <row r="383" spans="4:24">
      <c r="D383"/>
      <c r="R383" s="8"/>
      <c r="S383" s="8"/>
      <c r="T383" s="8"/>
      <c r="W383" s="7"/>
      <c r="X383" s="7"/>
    </row>
    <row r="384" spans="4:24">
      <c r="D384"/>
      <c r="R384" s="8"/>
      <c r="S384" s="8"/>
      <c r="T384" s="8"/>
      <c r="W384" s="7"/>
      <c r="X384" s="7"/>
    </row>
    <row r="385" spans="4:24">
      <c r="D385"/>
      <c r="R385" s="8"/>
      <c r="S385" s="8"/>
      <c r="T385" s="8"/>
      <c r="W385" s="7"/>
      <c r="X385" s="7"/>
    </row>
    <row r="386" spans="4:24">
      <c r="D386"/>
      <c r="R386" s="8"/>
      <c r="S386" s="8"/>
      <c r="T386" s="8"/>
      <c r="W386" s="7"/>
      <c r="X386" s="7"/>
    </row>
    <row r="387" spans="4:24">
      <c r="D387"/>
      <c r="R387" s="8"/>
      <c r="S387" s="8"/>
      <c r="T387" s="8"/>
      <c r="W387" s="7"/>
      <c r="X387" s="7"/>
    </row>
    <row r="388" spans="4:24">
      <c r="D388"/>
      <c r="R388" s="8"/>
      <c r="S388" s="8"/>
      <c r="T388" s="8"/>
      <c r="W388" s="7"/>
      <c r="X388" s="7"/>
    </row>
    <row r="389" spans="4:24">
      <c r="D389"/>
      <c r="R389" s="8"/>
      <c r="S389" s="8"/>
      <c r="T389" s="8"/>
      <c r="W389" s="7"/>
      <c r="X389" s="7"/>
    </row>
    <row r="390" spans="4:24">
      <c r="D390"/>
      <c r="R390" s="8"/>
      <c r="S390" s="8"/>
      <c r="T390" s="8"/>
      <c r="W390" s="7"/>
      <c r="X390" s="7"/>
    </row>
    <row r="391" spans="4:24">
      <c r="D391"/>
      <c r="R391" s="8"/>
      <c r="S391" s="8"/>
      <c r="T391" s="8"/>
      <c r="W391" s="7"/>
      <c r="X391" s="7"/>
    </row>
    <row r="392" spans="4:24">
      <c r="D392"/>
      <c r="R392" s="8"/>
      <c r="S392" s="8"/>
      <c r="T392" s="8"/>
      <c r="W392" s="7"/>
      <c r="X392" s="7"/>
    </row>
    <row r="393" spans="4:24">
      <c r="D393"/>
      <c r="R393" s="8"/>
      <c r="S393" s="8"/>
      <c r="T393" s="8"/>
      <c r="W393" s="7"/>
      <c r="X393" s="7"/>
    </row>
    <row r="394" spans="4:24">
      <c r="D394"/>
      <c r="R394" s="8"/>
      <c r="S394" s="8"/>
      <c r="T394" s="8"/>
      <c r="W394" s="7"/>
      <c r="X394" s="7"/>
    </row>
    <row r="395" spans="4:24">
      <c r="D395"/>
      <c r="R395" s="8"/>
      <c r="S395" s="8"/>
      <c r="T395" s="8"/>
      <c r="W395" s="7"/>
      <c r="X395" s="7"/>
    </row>
    <row r="396" spans="4:24">
      <c r="D396"/>
      <c r="R396" s="8"/>
      <c r="S396" s="8"/>
      <c r="T396" s="8"/>
      <c r="W396" s="7"/>
      <c r="X396" s="7"/>
    </row>
    <row r="397" spans="4:24">
      <c r="D397"/>
      <c r="R397" s="8"/>
      <c r="S397" s="8"/>
      <c r="T397" s="8"/>
      <c r="W397" s="7"/>
      <c r="X397" s="7"/>
    </row>
    <row r="398" spans="4:24">
      <c r="D398"/>
      <c r="R398" s="8"/>
      <c r="S398" s="8"/>
      <c r="T398" s="8"/>
      <c r="W398" s="7"/>
      <c r="X398" s="7"/>
    </row>
    <row r="399" spans="4:24">
      <c r="D399"/>
      <c r="R399" s="8"/>
      <c r="S399" s="8"/>
      <c r="T399" s="8"/>
      <c r="W399" s="7"/>
      <c r="X399" s="7"/>
    </row>
    <row r="400" spans="4:24">
      <c r="D400"/>
      <c r="R400" s="8"/>
      <c r="S400" s="8"/>
      <c r="T400" s="8"/>
      <c r="W400" s="7"/>
      <c r="X400" s="7"/>
    </row>
    <row r="401" spans="4:24">
      <c r="D401"/>
      <c r="R401" s="8"/>
      <c r="S401" s="8"/>
      <c r="T401" s="8"/>
      <c r="W401" s="7"/>
      <c r="X401" s="7"/>
    </row>
    <row r="402" spans="4:24">
      <c r="D402"/>
      <c r="R402" s="8"/>
      <c r="S402" s="8"/>
      <c r="T402" s="8"/>
      <c r="W402" s="7"/>
      <c r="X402" s="7"/>
    </row>
    <row r="403" spans="4:24">
      <c r="D403"/>
      <c r="R403" s="8"/>
      <c r="S403" s="8"/>
      <c r="T403" s="8"/>
      <c r="W403" s="7"/>
      <c r="X403" s="7"/>
    </row>
    <row r="404" spans="4:24">
      <c r="D404"/>
      <c r="R404" s="8"/>
      <c r="S404" s="8"/>
      <c r="T404" s="8"/>
      <c r="W404" s="7"/>
      <c r="X404" s="7"/>
    </row>
    <row r="405" spans="4:24">
      <c r="R405" s="8"/>
      <c r="S405" s="8"/>
      <c r="T405" s="8"/>
      <c r="W405" s="7"/>
      <c r="X405" s="7"/>
    </row>
    <row r="406" spans="4:24">
      <c r="R406" s="8"/>
      <c r="S406" s="8"/>
      <c r="T406" s="8"/>
      <c r="W406" s="7"/>
      <c r="X406" s="7"/>
    </row>
    <row r="407" spans="4:24">
      <c r="R407" s="8"/>
      <c r="S407" s="8"/>
      <c r="T407" s="8"/>
      <c r="W407" s="7"/>
      <c r="X407" s="7"/>
    </row>
    <row r="408" spans="4:24">
      <c r="R408" s="8"/>
      <c r="S408" s="8"/>
      <c r="T408" s="8"/>
      <c r="W408" s="7"/>
      <c r="X408" s="7"/>
    </row>
    <row r="409" spans="4:24">
      <c r="R409" s="8"/>
      <c r="S409" s="8"/>
      <c r="T409" s="8"/>
      <c r="W409" s="7"/>
      <c r="X409" s="7"/>
    </row>
    <row r="410" spans="4:24">
      <c r="R410" s="8"/>
      <c r="S410" s="8"/>
      <c r="T410" s="8"/>
      <c r="W410" s="7"/>
      <c r="X410" s="7"/>
    </row>
    <row r="411" spans="4:24">
      <c r="R411" s="8"/>
      <c r="S411" s="8"/>
      <c r="T411" s="8"/>
      <c r="W411" s="7"/>
      <c r="X411" s="7"/>
    </row>
    <row r="412" spans="4:24">
      <c r="R412" s="8"/>
      <c r="S412" s="8"/>
      <c r="T412" s="8"/>
      <c r="W412" s="7"/>
      <c r="X412" s="7"/>
    </row>
    <row r="413" spans="4:24">
      <c r="R413" s="8"/>
      <c r="S413" s="8"/>
      <c r="T413" s="8"/>
      <c r="W413" s="7"/>
      <c r="X413" s="7"/>
    </row>
    <row r="414" spans="4:24">
      <c r="R414" s="8"/>
      <c r="S414" s="8"/>
      <c r="T414" s="8"/>
      <c r="W414" s="7"/>
      <c r="X414" s="7"/>
    </row>
    <row r="415" spans="4:24">
      <c r="R415" s="8"/>
      <c r="S415" s="8"/>
      <c r="T415" s="8"/>
      <c r="W415" s="7"/>
      <c r="X415" s="7"/>
    </row>
    <row r="416" spans="4:24">
      <c r="R416" s="8"/>
      <c r="S416" s="8"/>
      <c r="T416" s="8"/>
      <c r="W416" s="7"/>
      <c r="X416" s="7"/>
    </row>
    <row r="417" spans="18:24">
      <c r="R417" s="8"/>
      <c r="S417" s="8"/>
      <c r="T417" s="8"/>
      <c r="W417" s="7"/>
      <c r="X417" s="7"/>
    </row>
    <row r="418" spans="18:24">
      <c r="R418" s="8"/>
      <c r="S418" s="8"/>
      <c r="T418" s="8"/>
      <c r="W418" s="7"/>
      <c r="X418" s="7"/>
    </row>
    <row r="419" spans="18:24">
      <c r="R419" s="8"/>
      <c r="S419" s="8"/>
      <c r="T419" s="8"/>
      <c r="W419" s="7"/>
      <c r="X419" s="7"/>
    </row>
    <row r="420" spans="18:24">
      <c r="R420" s="8"/>
      <c r="S420" s="8"/>
      <c r="T420" s="8"/>
      <c r="W420" s="7"/>
      <c r="X420" s="7"/>
    </row>
    <row r="421" spans="18:24">
      <c r="R421" s="8"/>
      <c r="S421" s="8"/>
      <c r="T421" s="8"/>
      <c r="W421" s="7"/>
      <c r="X421" s="7"/>
    </row>
    <row r="422" spans="18:24">
      <c r="R422" s="8"/>
      <c r="S422" s="8"/>
      <c r="T422" s="8"/>
      <c r="W422" s="7"/>
      <c r="X422" s="7"/>
    </row>
    <row r="423" spans="18:24">
      <c r="R423" s="8"/>
      <c r="S423" s="8"/>
      <c r="T423" s="8"/>
      <c r="W423" s="7"/>
      <c r="X423" s="7"/>
    </row>
    <row r="424" spans="18:24">
      <c r="R424" s="8"/>
      <c r="S424" s="8"/>
      <c r="T424" s="8"/>
      <c r="W424" s="7"/>
      <c r="X424" s="7"/>
    </row>
    <row r="425" spans="18:24">
      <c r="R425" s="8"/>
      <c r="S425" s="8"/>
      <c r="T425" s="8"/>
      <c r="W425" s="7"/>
      <c r="X425" s="7"/>
    </row>
    <row r="426" spans="18:24">
      <c r="R426" s="8"/>
      <c r="S426" s="8"/>
      <c r="T426" s="8"/>
      <c r="W426" s="7"/>
      <c r="X426" s="7"/>
    </row>
    <row r="427" spans="18:24">
      <c r="R427" s="8"/>
      <c r="S427" s="8"/>
      <c r="T427" s="8"/>
      <c r="W427" s="7"/>
      <c r="X427" s="7"/>
    </row>
    <row r="428" spans="18:24">
      <c r="R428" s="8"/>
      <c r="S428" s="8"/>
      <c r="T428" s="8"/>
      <c r="W428" s="7"/>
      <c r="X428" s="7"/>
    </row>
    <row r="429" spans="18:24">
      <c r="R429" s="8"/>
      <c r="S429" s="8"/>
      <c r="T429" s="8"/>
      <c r="W429" s="7"/>
      <c r="X429" s="7"/>
    </row>
    <row r="430" spans="18:24">
      <c r="R430" s="8"/>
      <c r="S430" s="8"/>
      <c r="T430" s="8"/>
      <c r="W430" s="7"/>
      <c r="X430" s="7"/>
    </row>
    <row r="431" spans="18:24">
      <c r="R431" s="8"/>
      <c r="S431" s="8"/>
      <c r="T431" s="8"/>
      <c r="W431" s="7"/>
      <c r="X431" s="7"/>
    </row>
    <row r="432" spans="18:24">
      <c r="R432" s="8"/>
      <c r="S432" s="8"/>
      <c r="T432" s="8"/>
      <c r="W432" s="7"/>
      <c r="X432" s="7"/>
    </row>
    <row r="433" spans="18:24">
      <c r="R433" s="8"/>
      <c r="S433" s="8"/>
      <c r="T433" s="8"/>
      <c r="W433" s="7"/>
      <c r="X433" s="7"/>
    </row>
    <row r="434" spans="18:24">
      <c r="R434" s="8"/>
      <c r="S434" s="8"/>
      <c r="T434" s="8"/>
      <c r="W434" s="7"/>
      <c r="X434" s="7"/>
    </row>
    <row r="435" spans="18:24">
      <c r="R435" s="8"/>
      <c r="S435" s="8"/>
      <c r="T435" s="8"/>
      <c r="W435" s="7"/>
      <c r="X435" s="7"/>
    </row>
    <row r="436" spans="18:24">
      <c r="R436" s="8"/>
      <c r="S436" s="8"/>
      <c r="T436" s="8"/>
      <c r="W436" s="7"/>
      <c r="X436" s="7"/>
    </row>
    <row r="437" spans="18:24">
      <c r="R437" s="8"/>
      <c r="S437" s="8"/>
      <c r="T437" s="8"/>
      <c r="W437" s="7"/>
      <c r="X437" s="7"/>
    </row>
    <row r="438" spans="18:24">
      <c r="R438" s="8"/>
      <c r="S438" s="8"/>
      <c r="T438" s="8"/>
      <c r="W438" s="7"/>
      <c r="X438" s="7"/>
    </row>
    <row r="439" spans="18:24">
      <c r="R439" s="8"/>
      <c r="S439" s="8"/>
      <c r="T439" s="8"/>
      <c r="W439" s="7"/>
      <c r="X439" s="7"/>
    </row>
    <row r="440" spans="18:24">
      <c r="R440" s="8"/>
      <c r="S440" s="8"/>
      <c r="T440" s="8"/>
      <c r="W440" s="7"/>
      <c r="X440" s="7"/>
    </row>
    <row r="441" spans="18:24">
      <c r="R441" s="8"/>
      <c r="S441" s="8"/>
      <c r="T441" s="8"/>
      <c r="W441" s="7"/>
      <c r="X441" s="7"/>
    </row>
    <row r="442" spans="18:24">
      <c r="R442" s="8"/>
      <c r="S442" s="8"/>
      <c r="T442" s="8"/>
      <c r="W442" s="7"/>
      <c r="X442" s="7"/>
    </row>
    <row r="443" spans="18:24">
      <c r="R443" s="8"/>
      <c r="S443" s="8"/>
      <c r="T443" s="8"/>
      <c r="W443" s="7"/>
      <c r="X443" s="7"/>
    </row>
    <row r="444" spans="18:24">
      <c r="R444" s="8"/>
      <c r="S444" s="8"/>
      <c r="T444" s="8"/>
      <c r="W444" s="7"/>
      <c r="X444" s="7"/>
    </row>
    <row r="445" spans="18:24">
      <c r="R445" s="8"/>
      <c r="S445" s="8"/>
      <c r="T445" s="8"/>
      <c r="W445" s="7"/>
      <c r="X445" s="7"/>
    </row>
    <row r="446" spans="18:24">
      <c r="R446" s="8"/>
      <c r="S446" s="8"/>
      <c r="T446" s="8"/>
      <c r="W446" s="7"/>
      <c r="X446" s="7"/>
    </row>
    <row r="447" spans="18:24">
      <c r="R447" s="8"/>
      <c r="S447" s="8"/>
      <c r="T447" s="8"/>
      <c r="W447" s="7"/>
      <c r="X447" s="7"/>
    </row>
    <row r="448" spans="18:24">
      <c r="R448" s="8"/>
      <c r="S448" s="8"/>
      <c r="T448" s="8"/>
      <c r="W448" s="7"/>
      <c r="X448" s="7"/>
    </row>
    <row r="449" spans="18:24">
      <c r="R449" s="8"/>
      <c r="S449" s="8"/>
      <c r="T449" s="8"/>
      <c r="W449" s="7"/>
      <c r="X449" s="7"/>
    </row>
    <row r="450" spans="18:24">
      <c r="R450" s="8"/>
      <c r="S450" s="8"/>
      <c r="T450" s="8"/>
      <c r="W450" s="7"/>
      <c r="X450" s="7"/>
    </row>
    <row r="451" spans="18:24">
      <c r="R451" s="8"/>
      <c r="S451" s="8"/>
      <c r="T451" s="8"/>
      <c r="W451" s="7"/>
      <c r="X451" s="7"/>
    </row>
    <row r="452" spans="18:24">
      <c r="R452" s="8"/>
      <c r="S452" s="8"/>
      <c r="T452" s="8"/>
      <c r="W452" s="7"/>
      <c r="X452" s="7"/>
    </row>
    <row r="453" spans="18:24">
      <c r="R453" s="8"/>
      <c r="S453" s="8"/>
      <c r="T453" s="8"/>
      <c r="W453" s="7"/>
      <c r="X453" s="7"/>
    </row>
    <row r="454" spans="18:24">
      <c r="R454" s="8"/>
      <c r="S454" s="8"/>
      <c r="T454" s="8"/>
      <c r="W454" s="7"/>
      <c r="X454" s="7"/>
    </row>
    <row r="455" spans="18:24">
      <c r="R455" s="8"/>
      <c r="S455" s="8"/>
      <c r="T455" s="8"/>
      <c r="W455" s="7"/>
      <c r="X455" s="7"/>
    </row>
    <row r="456" spans="18:24">
      <c r="R456" s="8"/>
      <c r="S456" s="8"/>
      <c r="T456" s="8"/>
      <c r="W456" s="7"/>
      <c r="X456" s="7"/>
    </row>
    <row r="457" spans="18:24">
      <c r="R457" s="8"/>
      <c r="S457" s="8"/>
      <c r="T457" s="8"/>
      <c r="W457" s="7"/>
      <c r="X457" s="7"/>
    </row>
    <row r="458" spans="18:24">
      <c r="R458" s="8"/>
      <c r="S458" s="8"/>
      <c r="T458" s="8"/>
      <c r="W458" s="7"/>
      <c r="X458" s="7"/>
    </row>
    <row r="459" spans="18:24">
      <c r="R459" s="8"/>
      <c r="S459" s="8"/>
      <c r="T459" s="8"/>
      <c r="W459" s="7"/>
      <c r="X459" s="7"/>
    </row>
    <row r="460" spans="18:24">
      <c r="R460" s="8"/>
      <c r="S460" s="8"/>
      <c r="T460" s="8"/>
      <c r="W460" s="7"/>
      <c r="X460" s="7"/>
    </row>
    <row r="461" spans="18:24">
      <c r="R461" s="8"/>
      <c r="S461" s="8"/>
      <c r="T461" s="8"/>
      <c r="W461" s="7"/>
      <c r="X461" s="7"/>
    </row>
    <row r="462" spans="18:24">
      <c r="R462" s="8"/>
      <c r="S462" s="8"/>
      <c r="T462" s="8"/>
      <c r="W462" s="7"/>
      <c r="X462" s="7"/>
    </row>
    <row r="463" spans="18:24">
      <c r="R463" s="8"/>
      <c r="S463" s="8"/>
      <c r="T463" s="8"/>
      <c r="W463" s="7"/>
      <c r="X463" s="7"/>
    </row>
    <row r="464" spans="18:24">
      <c r="R464" s="8"/>
      <c r="S464" s="8"/>
      <c r="T464" s="8"/>
      <c r="W464" s="7"/>
      <c r="X464" s="7"/>
    </row>
    <row r="465" spans="18:24">
      <c r="R465" s="8"/>
      <c r="S465" s="8"/>
      <c r="T465" s="8"/>
      <c r="W465" s="7"/>
      <c r="X465" s="7"/>
    </row>
    <row r="466" spans="18:24">
      <c r="R466" s="8"/>
      <c r="S466" s="8"/>
      <c r="T466" s="8"/>
      <c r="W466" s="7"/>
      <c r="X466" s="7"/>
    </row>
    <row r="467" spans="18:24">
      <c r="R467" s="8"/>
      <c r="S467" s="8"/>
      <c r="T467" s="8"/>
      <c r="W467" s="7"/>
      <c r="X467" s="7"/>
    </row>
    <row r="468" spans="18:24">
      <c r="R468" s="8"/>
      <c r="S468" s="8"/>
      <c r="T468" s="8"/>
      <c r="W468" s="7"/>
      <c r="X468" s="7"/>
    </row>
    <row r="469" spans="18:24">
      <c r="R469" s="8"/>
      <c r="S469" s="8"/>
      <c r="T469" s="8"/>
      <c r="W469" s="7"/>
      <c r="X469" s="7"/>
    </row>
    <row r="470" spans="18:24">
      <c r="R470" s="8"/>
      <c r="S470" s="8"/>
      <c r="T470" s="8"/>
      <c r="W470" s="7"/>
      <c r="X470" s="7"/>
    </row>
    <row r="471" spans="18:24">
      <c r="R471" s="8"/>
      <c r="S471" s="8"/>
      <c r="T471" s="8"/>
      <c r="W471" s="7"/>
      <c r="X471" s="7"/>
    </row>
    <row r="472" spans="18:24">
      <c r="R472" s="8"/>
      <c r="S472" s="8"/>
      <c r="T472" s="8"/>
      <c r="W472" s="7"/>
      <c r="X472" s="7"/>
    </row>
    <row r="473" spans="18:24">
      <c r="R473" s="8"/>
      <c r="S473" s="8"/>
      <c r="T473" s="8"/>
      <c r="W473" s="7"/>
      <c r="X473" s="7"/>
    </row>
    <row r="474" spans="18:24">
      <c r="R474" s="8"/>
      <c r="S474" s="8"/>
      <c r="T474" s="8"/>
      <c r="W474" s="7"/>
      <c r="X474" s="7"/>
    </row>
    <row r="475" spans="18:24">
      <c r="R475" s="8"/>
      <c r="S475" s="8"/>
      <c r="T475" s="8"/>
      <c r="W475" s="7"/>
      <c r="X475" s="7"/>
    </row>
    <row r="476" spans="18:24">
      <c r="R476" s="8"/>
      <c r="S476" s="8"/>
      <c r="T476" s="8"/>
      <c r="W476" s="7"/>
      <c r="X476" s="7"/>
    </row>
    <row r="477" spans="18:24">
      <c r="R477" s="8"/>
      <c r="S477" s="8"/>
      <c r="T477" s="8"/>
      <c r="W477" s="7"/>
      <c r="X477" s="7"/>
    </row>
    <row r="478" spans="18:24">
      <c r="R478" s="8"/>
      <c r="S478" s="8"/>
      <c r="T478" s="8"/>
      <c r="W478" s="7"/>
      <c r="X478" s="7"/>
    </row>
    <row r="479" spans="18:24">
      <c r="R479" s="8"/>
      <c r="S479" s="8"/>
      <c r="T479" s="8"/>
      <c r="W479" s="7"/>
      <c r="X479" s="7"/>
    </row>
    <row r="480" spans="18:24">
      <c r="R480" s="8"/>
      <c r="S480" s="8"/>
      <c r="T480" s="8"/>
      <c r="W480" s="7"/>
      <c r="X480" s="7"/>
    </row>
    <row r="481" spans="18:24">
      <c r="R481" s="8"/>
      <c r="S481" s="8"/>
      <c r="T481" s="8"/>
      <c r="W481" s="7"/>
      <c r="X481" s="7"/>
    </row>
    <row r="482" spans="18:24">
      <c r="R482" s="8"/>
      <c r="S482" s="8"/>
      <c r="T482" s="8"/>
      <c r="W482" s="7"/>
      <c r="X482" s="7"/>
    </row>
    <row r="483" spans="18:24">
      <c r="R483" s="8"/>
      <c r="S483" s="8"/>
      <c r="T483" s="8"/>
      <c r="W483" s="7"/>
      <c r="X483" s="7"/>
    </row>
    <row r="484" spans="18:24">
      <c r="R484" s="8"/>
      <c r="S484" s="8"/>
      <c r="T484" s="8"/>
      <c r="W484" s="7"/>
      <c r="X484" s="7"/>
    </row>
    <row r="485" spans="18:24">
      <c r="R485" s="8"/>
      <c r="S485" s="8"/>
      <c r="T485" s="8"/>
      <c r="W485" s="7"/>
      <c r="X485" s="7"/>
    </row>
    <row r="486" spans="18:24">
      <c r="R486" s="8"/>
      <c r="S486" s="8"/>
      <c r="T486" s="8"/>
      <c r="W486" s="7"/>
      <c r="X486" s="7"/>
    </row>
    <row r="487" spans="18:24">
      <c r="R487" s="8"/>
      <c r="S487" s="8"/>
      <c r="T487" s="8"/>
      <c r="W487" s="7"/>
      <c r="X487" s="7"/>
    </row>
    <row r="488" spans="18:24">
      <c r="R488" s="8"/>
      <c r="S488" s="8"/>
      <c r="T488" s="8"/>
      <c r="W488" s="7"/>
      <c r="X488" s="7"/>
    </row>
    <row r="489" spans="18:24">
      <c r="R489" s="8"/>
      <c r="S489" s="8"/>
      <c r="T489" s="8"/>
      <c r="W489" s="7"/>
      <c r="X489" s="7"/>
    </row>
    <row r="490" spans="18:24">
      <c r="R490" s="8"/>
      <c r="S490" s="8"/>
      <c r="T490" s="8"/>
      <c r="W490" s="7"/>
      <c r="X490" s="7"/>
    </row>
    <row r="491" spans="18:24">
      <c r="R491" s="8"/>
      <c r="S491" s="8"/>
      <c r="T491" s="8"/>
      <c r="W491" s="7"/>
      <c r="X491" s="7"/>
    </row>
    <row r="492" spans="18:24">
      <c r="R492" s="8"/>
      <c r="S492" s="8"/>
      <c r="T492" s="8"/>
      <c r="W492" s="7"/>
      <c r="X492" s="7"/>
    </row>
    <row r="493" spans="18:24">
      <c r="R493" s="8"/>
      <c r="S493" s="8"/>
      <c r="T493" s="8"/>
      <c r="W493" s="7"/>
      <c r="X493" s="7"/>
    </row>
    <row r="494" spans="18:24">
      <c r="R494" s="8"/>
      <c r="S494" s="8"/>
      <c r="T494" s="8"/>
      <c r="W494" s="7"/>
      <c r="X494" s="7"/>
    </row>
    <row r="495" spans="18:24">
      <c r="R495" s="8"/>
      <c r="S495" s="8"/>
      <c r="T495" s="8"/>
      <c r="W495" s="7"/>
      <c r="X495" s="7"/>
    </row>
    <row r="496" spans="18:24">
      <c r="R496" s="8"/>
      <c r="S496" s="8"/>
      <c r="T496" s="8"/>
      <c r="W496" s="7"/>
      <c r="X496" s="7"/>
    </row>
    <row r="497" spans="18:24">
      <c r="R497" s="8"/>
      <c r="S497" s="8"/>
      <c r="T497" s="8"/>
      <c r="W497" s="7"/>
      <c r="X497" s="7"/>
    </row>
    <row r="498" spans="18:24">
      <c r="R498" s="8"/>
      <c r="S498" s="8"/>
      <c r="T498" s="8"/>
      <c r="W498" s="7"/>
      <c r="X498" s="7"/>
    </row>
    <row r="499" spans="18:24">
      <c r="R499" s="8"/>
      <c r="S499" s="8"/>
      <c r="T499" s="8"/>
      <c r="W499" s="7"/>
      <c r="X499" s="7"/>
    </row>
    <row r="500" spans="18:24">
      <c r="R500" s="8"/>
      <c r="S500" s="8"/>
      <c r="T500" s="8"/>
      <c r="W500" s="7"/>
      <c r="X500" s="7"/>
    </row>
    <row r="501" spans="18:24">
      <c r="R501" s="8"/>
      <c r="S501" s="8"/>
      <c r="T501" s="8"/>
      <c r="W501" s="7"/>
      <c r="X501" s="7"/>
    </row>
    <row r="502" spans="18:24">
      <c r="R502" s="8"/>
      <c r="S502" s="8"/>
      <c r="T502" s="8"/>
      <c r="W502" s="7"/>
      <c r="X502" s="7"/>
    </row>
    <row r="503" spans="18:24">
      <c r="R503" s="8"/>
      <c r="S503" s="8"/>
      <c r="T503" s="8"/>
      <c r="W503" s="7"/>
      <c r="X503" s="7"/>
    </row>
    <row r="504" spans="18:24">
      <c r="R504" s="8"/>
      <c r="S504" s="8"/>
      <c r="T504" s="8"/>
      <c r="W504" s="7"/>
      <c r="X504" s="7"/>
    </row>
    <row r="505" spans="18:24">
      <c r="R505" s="8"/>
      <c r="S505" s="8"/>
      <c r="T505" s="8"/>
      <c r="W505" s="7"/>
      <c r="X505" s="7"/>
    </row>
    <row r="506" spans="18:24">
      <c r="R506" s="8"/>
      <c r="S506" s="8"/>
      <c r="T506" s="8"/>
      <c r="W506" s="7"/>
      <c r="X506" s="7"/>
    </row>
    <row r="507" spans="18:24">
      <c r="R507" s="8"/>
      <c r="S507" s="8"/>
      <c r="T507" s="8"/>
      <c r="W507" s="7"/>
      <c r="X507" s="7"/>
    </row>
    <row r="508" spans="18:24">
      <c r="R508" s="8"/>
      <c r="S508" s="8"/>
      <c r="T508" s="8"/>
      <c r="W508" s="7"/>
      <c r="X508" s="7"/>
    </row>
    <row r="509" spans="18:24">
      <c r="R509" s="8"/>
      <c r="S509" s="8"/>
      <c r="T509" s="8"/>
      <c r="W509" s="7"/>
      <c r="X509" s="7"/>
    </row>
    <row r="510" spans="18:24">
      <c r="R510" s="8"/>
      <c r="S510" s="8"/>
      <c r="T510" s="8"/>
      <c r="W510" s="7"/>
      <c r="X510" s="7"/>
    </row>
    <row r="511" spans="18:24">
      <c r="R511" s="8"/>
      <c r="S511" s="8"/>
      <c r="T511" s="8"/>
      <c r="W511" s="7"/>
      <c r="X511" s="7"/>
    </row>
    <row r="512" spans="18:24">
      <c r="R512" s="8"/>
      <c r="S512" s="8"/>
      <c r="T512" s="8"/>
      <c r="W512" s="7"/>
      <c r="X512" s="7"/>
    </row>
    <row r="513" spans="18:24">
      <c r="R513" s="8"/>
      <c r="S513" s="8"/>
      <c r="T513" s="8"/>
      <c r="W513" s="7"/>
      <c r="X513" s="7"/>
    </row>
    <row r="514" spans="18:24">
      <c r="R514" s="8"/>
      <c r="S514" s="8"/>
      <c r="T514" s="8"/>
      <c r="W514" s="7"/>
      <c r="X514" s="7"/>
    </row>
    <row r="515" spans="18:24">
      <c r="R515" s="8"/>
      <c r="S515" s="8"/>
      <c r="T515" s="8"/>
      <c r="W515" s="7"/>
      <c r="X515" s="7"/>
    </row>
    <row r="516" spans="18:24">
      <c r="R516" s="8"/>
      <c r="S516" s="8"/>
      <c r="T516" s="8"/>
      <c r="W516" s="7"/>
      <c r="X516" s="7"/>
    </row>
    <row r="517" spans="18:24">
      <c r="R517" s="8"/>
      <c r="S517" s="8"/>
      <c r="T517" s="8"/>
      <c r="W517" s="7"/>
      <c r="X517" s="7"/>
    </row>
    <row r="518" spans="18:24">
      <c r="R518" s="8"/>
      <c r="S518" s="8"/>
      <c r="T518" s="8"/>
      <c r="W518" s="7"/>
      <c r="X518" s="7"/>
    </row>
    <row r="519" spans="18:24">
      <c r="R519" s="8"/>
      <c r="S519" s="8"/>
      <c r="T519" s="8"/>
      <c r="W519" s="7"/>
      <c r="X519" s="7"/>
    </row>
    <row r="520" spans="18:24">
      <c r="R520" s="8"/>
      <c r="S520" s="8"/>
      <c r="T520" s="8"/>
      <c r="W520" s="7"/>
      <c r="X520" s="7"/>
    </row>
    <row r="521" spans="18:24">
      <c r="R521" s="8"/>
      <c r="S521" s="8"/>
      <c r="T521" s="8"/>
      <c r="W521" s="7"/>
      <c r="X521" s="7"/>
    </row>
    <row r="522" spans="18:24">
      <c r="R522" s="8"/>
      <c r="S522" s="8"/>
      <c r="T522" s="8"/>
      <c r="W522" s="7"/>
      <c r="X522" s="7"/>
    </row>
    <row r="523" spans="18:24">
      <c r="R523" s="8"/>
      <c r="S523" s="8"/>
      <c r="T523" s="8"/>
      <c r="W523" s="7"/>
      <c r="X523" s="7"/>
    </row>
    <row r="524" spans="18:24">
      <c r="R524" s="8"/>
      <c r="S524" s="8"/>
      <c r="T524" s="8"/>
      <c r="W524" s="7"/>
      <c r="X524" s="7"/>
    </row>
    <row r="525" spans="18:24">
      <c r="R525" s="8"/>
      <c r="S525" s="8"/>
      <c r="T525" s="8"/>
      <c r="W525" s="7"/>
      <c r="X525" s="7"/>
    </row>
    <row r="526" spans="18:24">
      <c r="R526" s="8"/>
      <c r="S526" s="8"/>
      <c r="T526" s="8"/>
      <c r="W526" s="7"/>
      <c r="X526" s="7"/>
    </row>
    <row r="527" spans="18:24">
      <c r="R527" s="8"/>
      <c r="S527" s="8"/>
      <c r="T527" s="8"/>
      <c r="W527" s="7"/>
      <c r="X527" s="7"/>
    </row>
    <row r="528" spans="18:24">
      <c r="R528" s="8"/>
      <c r="S528" s="8"/>
      <c r="T528" s="8"/>
      <c r="W528" s="7"/>
      <c r="X528" s="7"/>
    </row>
    <row r="529" spans="18:24">
      <c r="R529" s="8"/>
      <c r="S529" s="8"/>
      <c r="T529" s="8"/>
      <c r="W529" s="7"/>
      <c r="X529" s="7"/>
    </row>
    <row r="530" spans="18:24">
      <c r="R530" s="8"/>
      <c r="S530" s="8"/>
      <c r="T530" s="8"/>
      <c r="W530" s="7"/>
      <c r="X530" s="7"/>
    </row>
    <row r="531" spans="18:24">
      <c r="R531" s="8"/>
      <c r="S531" s="8"/>
      <c r="T531" s="8"/>
      <c r="W531" s="7"/>
      <c r="X531" s="7"/>
    </row>
    <row r="532" spans="18:24">
      <c r="R532" s="8"/>
      <c r="S532" s="8"/>
      <c r="T532" s="8"/>
      <c r="W532" s="7"/>
      <c r="X532" s="7"/>
    </row>
    <row r="533" spans="18:24">
      <c r="R533" s="8"/>
      <c r="S533" s="8"/>
      <c r="T533" s="8"/>
      <c r="W533" s="7"/>
      <c r="X533" s="7"/>
    </row>
    <row r="534" spans="18:24">
      <c r="R534" s="8"/>
      <c r="S534" s="8"/>
      <c r="T534" s="8"/>
      <c r="W534" s="7"/>
      <c r="X534" s="7"/>
    </row>
    <row r="535" spans="18:24">
      <c r="R535" s="8"/>
      <c r="S535" s="8"/>
      <c r="T535" s="8"/>
      <c r="W535" s="7"/>
      <c r="X535" s="7"/>
    </row>
    <row r="536" spans="18:24">
      <c r="R536" s="8"/>
      <c r="S536" s="8"/>
      <c r="T536" s="8"/>
      <c r="W536" s="7"/>
      <c r="X536" s="7"/>
    </row>
    <row r="537" spans="18:24">
      <c r="R537" s="8"/>
      <c r="S537" s="8"/>
      <c r="T537" s="8"/>
      <c r="W537" s="7"/>
      <c r="X537" s="7"/>
    </row>
    <row r="538" spans="18:24">
      <c r="R538" s="8"/>
      <c r="S538" s="8"/>
      <c r="T538" s="8"/>
      <c r="W538" s="7"/>
      <c r="X538" s="7"/>
    </row>
    <row r="539" spans="18:24">
      <c r="R539" s="8"/>
      <c r="S539" s="8"/>
      <c r="T539" s="8"/>
      <c r="W539" s="7"/>
      <c r="X539" s="7"/>
    </row>
    <row r="540" spans="18:24">
      <c r="R540" s="8"/>
      <c r="S540" s="8"/>
      <c r="T540" s="8"/>
      <c r="W540" s="7"/>
      <c r="X540" s="7"/>
    </row>
    <row r="541" spans="18:24">
      <c r="R541" s="8"/>
      <c r="S541" s="8"/>
      <c r="T541" s="8"/>
      <c r="W541" s="7"/>
      <c r="X541" s="7"/>
    </row>
    <row r="542" spans="18:24">
      <c r="R542" s="8"/>
      <c r="S542" s="8"/>
      <c r="T542" s="8"/>
      <c r="W542" s="7"/>
      <c r="X542" s="7"/>
    </row>
    <row r="543" spans="18:24">
      <c r="R543" s="8"/>
      <c r="S543" s="8"/>
      <c r="T543" s="8"/>
      <c r="W543" s="7"/>
      <c r="X543" s="7"/>
    </row>
    <row r="544" spans="18:24">
      <c r="R544" s="8"/>
      <c r="S544" s="8"/>
      <c r="T544" s="8"/>
      <c r="W544" s="7"/>
      <c r="X544" s="7"/>
    </row>
    <row r="545" spans="18:24">
      <c r="R545" s="8"/>
      <c r="S545" s="8"/>
      <c r="T545" s="8"/>
      <c r="W545" s="7"/>
      <c r="X545" s="7"/>
    </row>
    <row r="546" spans="18:24">
      <c r="R546" s="8"/>
      <c r="S546" s="8"/>
      <c r="T546" s="8"/>
      <c r="W546" s="7"/>
      <c r="X546" s="7"/>
    </row>
    <row r="547" spans="18:24">
      <c r="R547" s="8"/>
      <c r="S547" s="8"/>
      <c r="T547" s="8"/>
      <c r="W547" s="7"/>
      <c r="X547" s="7"/>
    </row>
    <row r="548" spans="18:24">
      <c r="R548" s="8"/>
      <c r="S548" s="8"/>
      <c r="T548" s="8"/>
      <c r="W548" s="7"/>
      <c r="X548" s="7"/>
    </row>
    <row r="549" spans="18:24">
      <c r="R549" s="8"/>
      <c r="S549" s="8"/>
      <c r="T549" s="8"/>
      <c r="W549" s="7"/>
      <c r="X549" s="7"/>
    </row>
    <row r="550" spans="18:24">
      <c r="R550" s="8"/>
      <c r="S550" s="8"/>
      <c r="T550" s="8"/>
      <c r="W550" s="7"/>
      <c r="X550" s="7"/>
    </row>
    <row r="551" spans="18:24">
      <c r="R551" s="8"/>
      <c r="S551" s="8"/>
      <c r="T551" s="8"/>
      <c r="W551" s="7"/>
      <c r="X551" s="7"/>
    </row>
    <row r="552" spans="18:24">
      <c r="R552" s="8"/>
      <c r="S552" s="8"/>
      <c r="T552" s="8"/>
      <c r="W552" s="7"/>
      <c r="X552" s="7"/>
    </row>
    <row r="553" spans="18:24">
      <c r="R553" s="8"/>
      <c r="S553" s="8"/>
      <c r="T553" s="8"/>
      <c r="W553" s="7"/>
      <c r="X553" s="7"/>
    </row>
    <row r="554" spans="18:24">
      <c r="R554" s="8"/>
      <c r="S554" s="8"/>
      <c r="T554" s="8"/>
      <c r="W554" s="7"/>
      <c r="X554" s="7"/>
    </row>
    <row r="555" spans="18:24">
      <c r="R555" s="8"/>
      <c r="S555" s="8"/>
      <c r="T555" s="8"/>
      <c r="W555" s="7"/>
      <c r="X555" s="7"/>
    </row>
    <row r="556" spans="18:24">
      <c r="R556" s="8"/>
      <c r="S556" s="8"/>
      <c r="T556" s="8"/>
      <c r="W556" s="7"/>
      <c r="X556" s="7"/>
    </row>
    <row r="557" spans="18:24">
      <c r="R557" s="8"/>
      <c r="S557" s="8"/>
      <c r="T557" s="8"/>
      <c r="W557" s="7"/>
      <c r="X557" s="7"/>
    </row>
    <row r="558" spans="18:24">
      <c r="R558" s="8"/>
      <c r="S558" s="8"/>
      <c r="T558" s="8"/>
      <c r="W558" s="7"/>
      <c r="X558" s="7"/>
    </row>
    <row r="559" spans="18:24">
      <c r="R559" s="8"/>
      <c r="S559" s="8"/>
      <c r="T559" s="8"/>
      <c r="W559" s="7"/>
      <c r="X559" s="7"/>
    </row>
    <row r="560" spans="18:24">
      <c r="R560" s="8"/>
      <c r="S560" s="8"/>
      <c r="T560" s="8"/>
      <c r="W560" s="7"/>
      <c r="X560" s="7"/>
    </row>
    <row r="561" spans="18:24">
      <c r="R561" s="8"/>
      <c r="S561" s="8"/>
      <c r="T561" s="8"/>
      <c r="W561" s="7"/>
      <c r="X561" s="7"/>
    </row>
    <row r="562" spans="18:24">
      <c r="R562" s="8"/>
      <c r="S562" s="8"/>
      <c r="T562" s="8"/>
      <c r="W562" s="7"/>
      <c r="X562" s="7"/>
    </row>
    <row r="563" spans="18:24">
      <c r="R563" s="8"/>
      <c r="S563" s="8"/>
      <c r="T563" s="8"/>
      <c r="W563" s="7"/>
      <c r="X563" s="7"/>
    </row>
    <row r="564" spans="18:24">
      <c r="R564" s="8"/>
      <c r="S564" s="8"/>
      <c r="T564" s="8"/>
      <c r="W564" s="7"/>
      <c r="X564" s="7"/>
    </row>
    <row r="565" spans="18:24">
      <c r="R565" s="8"/>
      <c r="S565" s="8"/>
      <c r="T565" s="8"/>
      <c r="W565" s="7"/>
      <c r="X565" s="7"/>
    </row>
    <row r="566" spans="18:24">
      <c r="R566" s="8"/>
      <c r="S566" s="8"/>
      <c r="T566" s="8"/>
      <c r="W566" s="7"/>
      <c r="X566" s="7"/>
    </row>
    <row r="567" spans="18:24">
      <c r="R567" s="8"/>
      <c r="S567" s="8"/>
      <c r="T567" s="8"/>
      <c r="W567" s="7"/>
      <c r="X567" s="7"/>
    </row>
    <row r="568" spans="18:24">
      <c r="R568" s="8"/>
      <c r="S568" s="8"/>
      <c r="T568" s="8"/>
      <c r="W568" s="7"/>
      <c r="X568" s="7"/>
    </row>
    <row r="569" spans="18:24">
      <c r="R569" s="8"/>
      <c r="S569" s="8"/>
      <c r="T569" s="8"/>
      <c r="W569" s="7"/>
      <c r="X569" s="7"/>
    </row>
    <row r="570" spans="18:24">
      <c r="R570" s="8"/>
      <c r="S570" s="8"/>
      <c r="T570" s="8"/>
      <c r="W570" s="7"/>
      <c r="X570" s="7"/>
    </row>
    <row r="571" spans="18:24">
      <c r="R571" s="8"/>
      <c r="S571" s="8"/>
      <c r="T571" s="8"/>
      <c r="W571" s="7"/>
      <c r="X571" s="7"/>
    </row>
    <row r="572" spans="18:24">
      <c r="R572" s="8"/>
      <c r="S572" s="8"/>
      <c r="T572" s="8"/>
      <c r="W572" s="7"/>
      <c r="X572" s="7"/>
    </row>
    <row r="573" spans="18:24">
      <c r="R573" s="8"/>
      <c r="S573" s="8"/>
      <c r="T573" s="8"/>
      <c r="W573" s="7"/>
      <c r="X573" s="7"/>
    </row>
    <row r="574" spans="18:24">
      <c r="R574" s="8"/>
      <c r="S574" s="8"/>
      <c r="T574" s="8"/>
      <c r="W574" s="7"/>
      <c r="X574" s="7"/>
    </row>
    <row r="575" spans="18:24">
      <c r="R575" s="8"/>
      <c r="S575" s="8"/>
      <c r="T575" s="8"/>
      <c r="W575" s="7"/>
      <c r="X575" s="7"/>
    </row>
    <row r="576" spans="18:24">
      <c r="R576" s="8"/>
      <c r="S576" s="8"/>
      <c r="T576" s="8"/>
      <c r="W576" s="7"/>
      <c r="X576" s="7"/>
    </row>
    <row r="577" spans="18:24">
      <c r="R577" s="8"/>
      <c r="S577" s="8"/>
      <c r="T577" s="8"/>
      <c r="W577" s="7"/>
      <c r="X577" s="7"/>
    </row>
    <row r="578" spans="18:24">
      <c r="R578" s="8"/>
      <c r="S578" s="8"/>
      <c r="T578" s="8"/>
      <c r="W578" s="7"/>
      <c r="X578" s="7"/>
    </row>
    <row r="579" spans="18:24">
      <c r="R579" s="8"/>
      <c r="S579" s="8"/>
      <c r="T579" s="8"/>
      <c r="W579" s="7"/>
      <c r="X579" s="7"/>
    </row>
    <row r="580" spans="18:24">
      <c r="R580" s="8"/>
      <c r="S580" s="8"/>
      <c r="T580" s="8"/>
      <c r="W580" s="7"/>
      <c r="X580" s="7"/>
    </row>
    <row r="581" spans="18:24">
      <c r="R581" s="8"/>
      <c r="S581" s="8"/>
      <c r="T581" s="8"/>
      <c r="W581" s="7"/>
      <c r="X581" s="7"/>
    </row>
    <row r="582" spans="18:24">
      <c r="R582" s="8"/>
      <c r="S582" s="8"/>
      <c r="T582" s="8"/>
      <c r="W582" s="7"/>
      <c r="X582" s="7"/>
    </row>
    <row r="583" spans="18:24">
      <c r="R583" s="8"/>
      <c r="S583" s="8"/>
      <c r="T583" s="8"/>
      <c r="W583" s="7"/>
      <c r="X583" s="7"/>
    </row>
    <row r="584" spans="18:24">
      <c r="R584" s="8"/>
      <c r="S584" s="8"/>
      <c r="T584" s="8"/>
      <c r="W584" s="7"/>
      <c r="X584" s="7"/>
    </row>
    <row r="585" spans="18:24">
      <c r="R585" s="8"/>
      <c r="S585" s="8"/>
      <c r="T585" s="8"/>
      <c r="W585" s="7"/>
      <c r="X585" s="7"/>
    </row>
    <row r="586" spans="18:24">
      <c r="R586" s="8"/>
      <c r="S586" s="8"/>
      <c r="T586" s="8"/>
      <c r="W586" s="7"/>
      <c r="X586" s="7"/>
    </row>
    <row r="587" spans="18:24">
      <c r="R587" s="8"/>
      <c r="S587" s="8"/>
      <c r="T587" s="8"/>
      <c r="W587" s="7"/>
      <c r="X587" s="7"/>
    </row>
    <row r="588" spans="18:24">
      <c r="R588" s="8"/>
      <c r="S588" s="8"/>
      <c r="T588" s="8"/>
      <c r="W588" s="7"/>
      <c r="X588" s="7"/>
    </row>
    <row r="589" spans="18:24">
      <c r="R589" s="8"/>
      <c r="S589" s="8"/>
      <c r="T589" s="8"/>
      <c r="W589" s="7"/>
      <c r="X589" s="7"/>
    </row>
    <row r="590" spans="18:24">
      <c r="R590" s="8"/>
      <c r="S590" s="8"/>
      <c r="T590" s="8"/>
      <c r="W590" s="7"/>
      <c r="X590" s="7"/>
    </row>
    <row r="591" spans="18:24">
      <c r="R591" s="8"/>
      <c r="S591" s="8"/>
      <c r="T591" s="8"/>
      <c r="W591" s="7"/>
      <c r="X591" s="7"/>
    </row>
    <row r="592" spans="18:24">
      <c r="R592" s="8"/>
      <c r="S592" s="8"/>
      <c r="T592" s="8"/>
      <c r="W592" s="7"/>
      <c r="X592" s="7"/>
    </row>
    <row r="593" spans="18:24">
      <c r="R593" s="8"/>
      <c r="S593" s="8"/>
      <c r="T593" s="8"/>
      <c r="W593" s="7"/>
      <c r="X593" s="7"/>
    </row>
    <row r="594" spans="18:24">
      <c r="R594" s="8"/>
      <c r="S594" s="8"/>
      <c r="T594" s="8"/>
      <c r="W594" s="7"/>
      <c r="X594" s="7"/>
    </row>
    <row r="595" spans="18:24">
      <c r="R595" s="8"/>
      <c r="S595" s="8"/>
      <c r="T595" s="8"/>
      <c r="W595" s="7"/>
      <c r="X595" s="7"/>
    </row>
    <row r="596" spans="18:24">
      <c r="R596" s="8"/>
      <c r="S596" s="8"/>
      <c r="T596" s="8"/>
      <c r="W596" s="7"/>
      <c r="X596" s="7"/>
    </row>
    <row r="597" spans="18:24">
      <c r="R597" s="8"/>
      <c r="S597" s="8"/>
      <c r="T597" s="8"/>
      <c r="W597" s="7"/>
      <c r="X597" s="7"/>
    </row>
    <row r="598" spans="18:24">
      <c r="R598" s="8"/>
      <c r="S598" s="8"/>
      <c r="T598" s="8"/>
      <c r="W598" s="7"/>
      <c r="X598" s="7"/>
    </row>
    <row r="599" spans="18:24">
      <c r="R599" s="8"/>
      <c r="S599" s="8"/>
      <c r="T599" s="8"/>
      <c r="W599" s="7"/>
      <c r="X599" s="7"/>
    </row>
    <row r="600" spans="18:24">
      <c r="R600" s="8"/>
      <c r="S600" s="8"/>
      <c r="T600" s="8"/>
      <c r="W600" s="7"/>
      <c r="X600" s="7"/>
    </row>
    <row r="601" spans="18:24">
      <c r="R601" s="8"/>
      <c r="S601" s="8"/>
      <c r="T601" s="8"/>
      <c r="W601" s="7"/>
      <c r="X601" s="7"/>
    </row>
    <row r="602" spans="18:24">
      <c r="R602" s="8"/>
      <c r="S602" s="8"/>
      <c r="T602" s="8"/>
      <c r="W602" s="7"/>
      <c r="X602" s="7"/>
    </row>
    <row r="603" spans="18:24">
      <c r="R603" s="8"/>
      <c r="S603" s="8"/>
      <c r="T603" s="8"/>
      <c r="W603" s="7"/>
      <c r="X603" s="7"/>
    </row>
    <row r="604" spans="18:24">
      <c r="R604" s="8"/>
      <c r="S604" s="8"/>
      <c r="T604" s="8"/>
      <c r="W604" s="7"/>
      <c r="X604" s="7"/>
    </row>
    <row r="605" spans="18:24">
      <c r="R605" s="8"/>
      <c r="S605" s="8"/>
      <c r="T605" s="8"/>
      <c r="W605" s="7"/>
      <c r="X605" s="7"/>
    </row>
    <row r="606" spans="18:24">
      <c r="R606" s="8"/>
      <c r="S606" s="8"/>
      <c r="T606" s="8"/>
      <c r="W606" s="7"/>
      <c r="X606" s="7"/>
    </row>
    <row r="607" spans="18:24">
      <c r="R607" s="8"/>
      <c r="S607" s="8"/>
      <c r="T607" s="8"/>
      <c r="W607" s="7"/>
      <c r="X607" s="7"/>
    </row>
    <row r="608" spans="18:24">
      <c r="R608" s="8"/>
      <c r="S608" s="8"/>
      <c r="T608" s="8"/>
      <c r="W608" s="7"/>
      <c r="X608" s="7"/>
    </row>
    <row r="609" spans="18:24">
      <c r="R609" s="8"/>
      <c r="S609" s="8"/>
      <c r="T609" s="8"/>
      <c r="W609" s="7"/>
      <c r="X609" s="7"/>
    </row>
    <row r="610" spans="18:24">
      <c r="R610" s="8"/>
      <c r="S610" s="8"/>
      <c r="T610" s="8"/>
      <c r="W610" s="7"/>
      <c r="X610" s="7"/>
    </row>
    <row r="611" spans="18:24">
      <c r="R611" s="8"/>
      <c r="S611" s="8"/>
      <c r="T611" s="8"/>
      <c r="W611" s="7"/>
      <c r="X611" s="7"/>
    </row>
    <row r="612" spans="18:24">
      <c r="R612" s="8"/>
      <c r="S612" s="8"/>
      <c r="T612" s="8"/>
      <c r="W612" s="7"/>
      <c r="X612" s="7"/>
    </row>
    <row r="613" spans="18:24">
      <c r="R613" s="8"/>
      <c r="S613" s="8"/>
      <c r="T613" s="8"/>
      <c r="W613" s="7"/>
      <c r="X613" s="7"/>
    </row>
    <row r="614" spans="18:24">
      <c r="R614" s="8"/>
      <c r="S614" s="8"/>
      <c r="T614" s="8"/>
      <c r="W614" s="7"/>
      <c r="X614" s="7"/>
    </row>
    <row r="615" spans="18:24">
      <c r="R615" s="8"/>
      <c r="S615" s="8"/>
      <c r="T615" s="8"/>
      <c r="W615" s="7"/>
      <c r="X615" s="7"/>
    </row>
    <row r="616" spans="18:24">
      <c r="R616" s="8"/>
      <c r="S616" s="8"/>
      <c r="T616" s="8"/>
      <c r="W616" s="7"/>
      <c r="X616" s="7"/>
    </row>
    <row r="617" spans="18:24">
      <c r="R617" s="8"/>
      <c r="S617" s="8"/>
      <c r="T617" s="8"/>
      <c r="W617" s="7"/>
      <c r="X617" s="7"/>
    </row>
    <row r="618" spans="18:24">
      <c r="R618" s="8"/>
      <c r="S618" s="8"/>
      <c r="T618" s="8"/>
      <c r="W618" s="7"/>
      <c r="X618" s="7"/>
    </row>
    <row r="619" spans="18:24">
      <c r="R619" s="8"/>
      <c r="S619" s="8"/>
      <c r="T619" s="8"/>
      <c r="W619" s="7"/>
      <c r="X619" s="7"/>
    </row>
    <row r="620" spans="18:24">
      <c r="R620" s="8"/>
      <c r="S620" s="8"/>
      <c r="T620" s="8"/>
      <c r="W620" s="7"/>
      <c r="X620" s="7"/>
    </row>
    <row r="621" spans="18:24">
      <c r="R621" s="8"/>
      <c r="S621" s="8"/>
      <c r="T621" s="8"/>
      <c r="W621" s="7"/>
      <c r="X621" s="7"/>
    </row>
    <row r="622" spans="18:24">
      <c r="R622" s="8"/>
      <c r="S622" s="8"/>
      <c r="T622" s="8"/>
      <c r="W622" s="7"/>
      <c r="X622" s="7"/>
    </row>
    <row r="623" spans="18:24">
      <c r="R623" s="8"/>
      <c r="S623" s="8"/>
      <c r="T623" s="8"/>
      <c r="W623" s="7"/>
      <c r="X623" s="7"/>
    </row>
    <row r="624" spans="18:24">
      <c r="R624" s="8"/>
      <c r="S624" s="8"/>
      <c r="T624" s="8"/>
      <c r="W624" s="7"/>
      <c r="X624" s="7"/>
    </row>
    <row r="625" spans="18:24">
      <c r="R625" s="8"/>
      <c r="S625" s="8"/>
      <c r="T625" s="8"/>
      <c r="W625" s="7"/>
      <c r="X625" s="7"/>
    </row>
    <row r="626" spans="18:24">
      <c r="R626" s="8"/>
      <c r="S626" s="8"/>
      <c r="T626" s="8"/>
      <c r="W626" s="7"/>
      <c r="X626" s="7"/>
    </row>
    <row r="627" spans="18:24">
      <c r="R627" s="8"/>
      <c r="S627" s="8"/>
      <c r="T627" s="8"/>
      <c r="W627" s="7"/>
      <c r="X627" s="7"/>
    </row>
    <row r="628" spans="18:24">
      <c r="R628" s="8"/>
      <c r="S628" s="8"/>
      <c r="T628" s="8"/>
      <c r="W628" s="7"/>
      <c r="X628" s="7"/>
    </row>
    <row r="629" spans="18:24">
      <c r="R629" s="8"/>
      <c r="S629" s="8"/>
      <c r="T629" s="8"/>
      <c r="W629" s="7"/>
      <c r="X629" s="7"/>
    </row>
    <row r="630" spans="18:24">
      <c r="R630" s="8"/>
      <c r="S630" s="8"/>
      <c r="T630" s="8"/>
      <c r="W630" s="7"/>
      <c r="X630" s="7"/>
    </row>
    <row r="631" spans="18:24">
      <c r="R631" s="8"/>
      <c r="S631" s="8"/>
      <c r="T631" s="8"/>
      <c r="W631" s="7"/>
      <c r="X631" s="7"/>
    </row>
    <row r="632" spans="18:24">
      <c r="R632" s="8"/>
      <c r="S632" s="8"/>
      <c r="T632" s="8"/>
      <c r="W632" s="7"/>
      <c r="X632" s="7"/>
    </row>
    <row r="633" spans="18:24">
      <c r="R633" s="8"/>
      <c r="S633" s="8"/>
      <c r="T633" s="8"/>
      <c r="W633" s="7"/>
      <c r="X633" s="7"/>
    </row>
    <row r="634" spans="18:24">
      <c r="R634" s="8"/>
      <c r="S634" s="8"/>
      <c r="T634" s="8"/>
      <c r="W634" s="7"/>
      <c r="X634" s="7"/>
    </row>
    <row r="635" spans="18:24">
      <c r="R635" s="8"/>
      <c r="S635" s="8"/>
      <c r="T635" s="8"/>
      <c r="W635" s="7"/>
      <c r="X635" s="7"/>
    </row>
    <row r="636" spans="18:24">
      <c r="R636" s="8"/>
      <c r="S636" s="8"/>
      <c r="T636" s="8"/>
      <c r="W636" s="7"/>
      <c r="X636" s="7"/>
    </row>
    <row r="637" spans="18:24">
      <c r="R637" s="8"/>
      <c r="S637" s="8"/>
      <c r="T637" s="8"/>
      <c r="W637" s="7"/>
      <c r="X637" s="7"/>
    </row>
    <row r="638" spans="18:24">
      <c r="R638" s="8"/>
      <c r="S638" s="8"/>
      <c r="T638" s="8"/>
      <c r="W638" s="7"/>
      <c r="X638" s="7"/>
    </row>
    <row r="639" spans="18:24">
      <c r="R639" s="8"/>
      <c r="S639" s="8"/>
      <c r="T639" s="8"/>
      <c r="W639" s="7"/>
      <c r="X639" s="7"/>
    </row>
    <row r="640" spans="18:24">
      <c r="R640" s="8"/>
      <c r="S640" s="8"/>
      <c r="T640" s="8"/>
      <c r="W640" s="7"/>
      <c r="X640" s="7"/>
    </row>
    <row r="641" spans="18:24">
      <c r="R641" s="8"/>
      <c r="S641" s="8"/>
      <c r="T641" s="8"/>
      <c r="W641" s="7"/>
      <c r="X641" s="7"/>
    </row>
    <row r="642" spans="18:24">
      <c r="R642" s="8"/>
      <c r="S642" s="8"/>
      <c r="T642" s="8"/>
      <c r="W642" s="7"/>
      <c r="X642" s="7"/>
    </row>
    <row r="643" spans="18:24">
      <c r="R643" s="8"/>
      <c r="S643" s="8"/>
      <c r="T643" s="8"/>
      <c r="W643" s="7"/>
      <c r="X643" s="7"/>
    </row>
    <row r="644" spans="18:24">
      <c r="R644" s="8"/>
      <c r="S644" s="8"/>
      <c r="T644" s="8"/>
      <c r="W644" s="7"/>
      <c r="X644" s="7"/>
    </row>
    <row r="645" spans="18:24">
      <c r="R645" s="8"/>
      <c r="S645" s="8"/>
      <c r="T645" s="8"/>
      <c r="W645" s="7"/>
      <c r="X645" s="7"/>
    </row>
    <row r="646" spans="18:24">
      <c r="R646" s="8"/>
      <c r="S646" s="8"/>
      <c r="T646" s="8"/>
      <c r="W646" s="7"/>
      <c r="X646" s="7"/>
    </row>
    <row r="647" spans="18:24">
      <c r="R647" s="8"/>
      <c r="S647" s="8"/>
      <c r="T647" s="8"/>
      <c r="W647" s="7"/>
      <c r="X647" s="7"/>
    </row>
    <row r="648" spans="18:24">
      <c r="R648" s="8"/>
      <c r="S648" s="8"/>
      <c r="T648" s="8"/>
      <c r="W648" s="7"/>
      <c r="X648" s="7"/>
    </row>
    <row r="649" spans="18:24">
      <c r="R649" s="8"/>
      <c r="S649" s="8"/>
      <c r="T649" s="8"/>
      <c r="W649" s="7"/>
      <c r="X649" s="7"/>
    </row>
    <row r="650" spans="18:24">
      <c r="R650" s="8"/>
      <c r="S650" s="8"/>
      <c r="T650" s="8"/>
      <c r="W650" s="7"/>
      <c r="X650" s="7"/>
    </row>
    <row r="651" spans="18:24">
      <c r="R651" s="8"/>
      <c r="S651" s="8"/>
      <c r="T651" s="8"/>
      <c r="W651" s="7"/>
      <c r="X651" s="7"/>
    </row>
    <row r="652" spans="18:24">
      <c r="R652" s="8"/>
      <c r="S652" s="8"/>
      <c r="T652" s="8"/>
      <c r="W652" s="7"/>
      <c r="X652" s="7"/>
    </row>
    <row r="653" spans="18:24">
      <c r="R653" s="8"/>
      <c r="S653" s="8"/>
      <c r="T653" s="8"/>
      <c r="W653" s="7"/>
      <c r="X653" s="7"/>
    </row>
    <row r="654" spans="18:24">
      <c r="R654" s="8"/>
      <c r="S654" s="8"/>
      <c r="T654" s="8"/>
      <c r="W654" s="7"/>
      <c r="X654" s="7"/>
    </row>
    <row r="655" spans="18:24">
      <c r="R655" s="8"/>
      <c r="S655" s="8"/>
      <c r="T655" s="8"/>
      <c r="W655" s="7"/>
      <c r="X655" s="7"/>
    </row>
    <row r="656" spans="18:24">
      <c r="R656" s="8"/>
      <c r="S656" s="8"/>
      <c r="T656" s="8"/>
      <c r="W656" s="7"/>
      <c r="X656" s="7"/>
    </row>
    <row r="657" spans="18:24">
      <c r="R657" s="8"/>
      <c r="S657" s="8"/>
      <c r="T657" s="8"/>
      <c r="W657" s="7"/>
      <c r="X657" s="7"/>
    </row>
    <row r="658" spans="18:24">
      <c r="R658" s="8"/>
      <c r="S658" s="8"/>
      <c r="T658" s="8"/>
      <c r="W658" s="7"/>
      <c r="X658" s="7"/>
    </row>
    <row r="659" spans="18:24">
      <c r="R659" s="8"/>
      <c r="S659" s="8"/>
      <c r="T659" s="8"/>
      <c r="W659" s="7"/>
      <c r="X659" s="7"/>
    </row>
    <row r="660" spans="18:24">
      <c r="R660" s="8"/>
      <c r="S660" s="8"/>
      <c r="T660" s="8"/>
      <c r="W660" s="7"/>
      <c r="X660" s="7"/>
    </row>
    <row r="661" spans="18:24">
      <c r="R661" s="8"/>
      <c r="S661" s="8"/>
      <c r="T661" s="8"/>
      <c r="W661" s="7"/>
      <c r="X661" s="7"/>
    </row>
    <row r="662" spans="18:24">
      <c r="R662" s="8"/>
      <c r="S662" s="8"/>
      <c r="T662" s="8"/>
      <c r="W662" s="7"/>
      <c r="X662" s="7"/>
    </row>
    <row r="663" spans="18:24">
      <c r="R663" s="8"/>
      <c r="S663" s="8"/>
      <c r="T663" s="8"/>
      <c r="W663" s="7"/>
      <c r="X663" s="7"/>
    </row>
    <row r="664" spans="18:24">
      <c r="R664" s="8"/>
      <c r="S664" s="8"/>
      <c r="T664" s="8"/>
      <c r="W664" s="7"/>
      <c r="X664" s="7"/>
    </row>
    <row r="665" spans="18:24">
      <c r="R665" s="8"/>
      <c r="S665" s="8"/>
      <c r="T665" s="8"/>
      <c r="W665" s="7"/>
      <c r="X665" s="7"/>
    </row>
    <row r="666" spans="18:24">
      <c r="R666" s="8"/>
      <c r="S666" s="8"/>
      <c r="T666" s="8"/>
      <c r="W666" s="7"/>
      <c r="X666" s="7"/>
    </row>
    <row r="667" spans="18:24">
      <c r="R667" s="8"/>
      <c r="S667" s="8"/>
      <c r="T667" s="8"/>
      <c r="W667" s="7"/>
      <c r="X667" s="7"/>
    </row>
    <row r="668" spans="18:24">
      <c r="R668" s="8"/>
      <c r="S668" s="8"/>
      <c r="T668" s="8"/>
      <c r="W668" s="7"/>
      <c r="X668" s="7"/>
    </row>
    <row r="669" spans="18:24">
      <c r="R669" s="8"/>
      <c r="S669" s="8"/>
      <c r="T669" s="8"/>
      <c r="W669" s="7"/>
      <c r="X669" s="7"/>
    </row>
    <row r="670" spans="18:24">
      <c r="R670" s="8"/>
      <c r="S670" s="8"/>
      <c r="T670" s="8"/>
      <c r="W670" s="7"/>
      <c r="X670" s="7"/>
    </row>
    <row r="671" spans="18:24">
      <c r="R671" s="8"/>
      <c r="S671" s="8"/>
      <c r="T671" s="8"/>
      <c r="W671" s="7"/>
      <c r="X671" s="7"/>
    </row>
    <row r="672" spans="18:24">
      <c r="R672" s="8"/>
      <c r="S672" s="8"/>
      <c r="T672" s="8"/>
      <c r="W672" s="7"/>
      <c r="X672" s="7"/>
    </row>
    <row r="673" spans="18:24">
      <c r="R673" s="8"/>
      <c r="S673" s="8"/>
      <c r="T673" s="8"/>
      <c r="W673" s="7"/>
      <c r="X673" s="7"/>
    </row>
    <row r="674" spans="18:24">
      <c r="R674" s="8"/>
      <c r="S674" s="8"/>
      <c r="T674" s="8"/>
      <c r="W674" s="7"/>
      <c r="X674" s="7"/>
    </row>
    <row r="675" spans="18:24">
      <c r="R675" s="8"/>
      <c r="S675" s="8"/>
      <c r="T675" s="8"/>
      <c r="W675" s="7"/>
      <c r="X675" s="7"/>
    </row>
    <row r="676" spans="18:24">
      <c r="R676" s="8"/>
      <c r="S676" s="8"/>
      <c r="T676" s="8"/>
      <c r="W676" s="7"/>
      <c r="X676" s="7"/>
    </row>
    <row r="677" spans="18:24">
      <c r="R677" s="8"/>
      <c r="S677" s="8"/>
      <c r="T677" s="8"/>
      <c r="W677" s="7"/>
      <c r="X677" s="7"/>
    </row>
    <row r="678" spans="18:24">
      <c r="R678" s="8"/>
      <c r="S678" s="8"/>
      <c r="T678" s="8"/>
      <c r="W678" s="7"/>
      <c r="X678" s="7"/>
    </row>
    <row r="679" spans="18:24">
      <c r="R679" s="8"/>
      <c r="S679" s="8"/>
      <c r="T679" s="8"/>
      <c r="W679" s="7"/>
      <c r="X679" s="7"/>
    </row>
    <row r="680" spans="18:24">
      <c r="R680" s="8"/>
      <c r="S680" s="8"/>
      <c r="T680" s="8"/>
      <c r="W680" s="7"/>
      <c r="X680" s="7"/>
    </row>
    <row r="681" spans="18:24">
      <c r="R681" s="8"/>
      <c r="S681" s="8"/>
      <c r="T681" s="8"/>
      <c r="W681" s="7"/>
      <c r="X681" s="7"/>
    </row>
    <row r="682" spans="18:24">
      <c r="R682" s="8"/>
      <c r="S682" s="8"/>
      <c r="T682" s="8"/>
      <c r="W682" s="7"/>
      <c r="X682" s="7"/>
    </row>
    <row r="683" spans="18:24">
      <c r="R683" s="8"/>
      <c r="S683" s="8"/>
      <c r="T683" s="8"/>
      <c r="W683" s="7"/>
      <c r="X683" s="7"/>
    </row>
    <row r="684" spans="18:24">
      <c r="R684" s="8"/>
      <c r="S684" s="8"/>
      <c r="T684" s="8"/>
      <c r="W684" s="7"/>
      <c r="X684" s="7"/>
    </row>
    <row r="685" spans="18:24">
      <c r="R685" s="8"/>
      <c r="S685" s="8"/>
      <c r="T685" s="8"/>
      <c r="W685" s="7"/>
      <c r="X685" s="7"/>
    </row>
    <row r="686" spans="18:24">
      <c r="R686" s="8"/>
      <c r="S686" s="8"/>
      <c r="T686" s="8"/>
      <c r="W686" s="7"/>
      <c r="X686" s="7"/>
    </row>
    <row r="687" spans="18:24">
      <c r="R687" s="8"/>
      <c r="S687" s="8"/>
      <c r="T687" s="8"/>
      <c r="W687" s="7"/>
      <c r="X687" s="7"/>
    </row>
    <row r="688" spans="18:24">
      <c r="R688" s="8"/>
      <c r="S688" s="8"/>
      <c r="T688" s="8"/>
      <c r="W688" s="7"/>
      <c r="X688" s="7"/>
    </row>
    <row r="689" spans="18:24">
      <c r="R689" s="8"/>
      <c r="S689" s="8"/>
      <c r="T689" s="8"/>
      <c r="W689" s="7"/>
      <c r="X689" s="7"/>
    </row>
    <row r="690" spans="18:24">
      <c r="R690" s="8"/>
      <c r="S690" s="8"/>
      <c r="T690" s="8"/>
      <c r="W690" s="7"/>
      <c r="X690" s="7"/>
    </row>
    <row r="691" spans="18:24">
      <c r="R691" s="8"/>
      <c r="S691" s="8"/>
      <c r="T691" s="8"/>
      <c r="W691" s="7"/>
      <c r="X691" s="7"/>
    </row>
    <row r="692" spans="18:24">
      <c r="R692" s="8"/>
      <c r="S692" s="8"/>
      <c r="T692" s="8"/>
      <c r="W692" s="7"/>
      <c r="X692" s="7"/>
    </row>
    <row r="693" spans="18:24">
      <c r="R693" s="8"/>
      <c r="S693" s="8"/>
      <c r="T693" s="8"/>
      <c r="W693" s="7"/>
      <c r="X693" s="7"/>
    </row>
    <row r="694" spans="18:24">
      <c r="R694" s="8"/>
      <c r="S694" s="8"/>
      <c r="T694" s="8"/>
      <c r="W694" s="7"/>
      <c r="X694" s="7"/>
    </row>
    <row r="695" spans="18:24">
      <c r="R695" s="8"/>
      <c r="S695" s="8"/>
      <c r="T695" s="8"/>
      <c r="W695" s="7"/>
      <c r="X695" s="7"/>
    </row>
    <row r="696" spans="18:24">
      <c r="R696" s="8"/>
      <c r="S696" s="8"/>
      <c r="T696" s="8"/>
      <c r="W696" s="7"/>
      <c r="X696" s="7"/>
    </row>
    <row r="697" spans="18:24">
      <c r="R697" s="8"/>
      <c r="S697" s="8"/>
      <c r="T697" s="8"/>
      <c r="W697" s="7"/>
      <c r="X697" s="7"/>
    </row>
    <row r="698" spans="18:24">
      <c r="R698" s="8"/>
      <c r="S698" s="8"/>
      <c r="T698" s="8"/>
      <c r="W698" s="7"/>
      <c r="X698" s="7"/>
    </row>
    <row r="699" spans="18:24">
      <c r="R699" s="8"/>
      <c r="S699" s="8"/>
      <c r="T699" s="8"/>
      <c r="W699" s="7"/>
      <c r="X699" s="7"/>
    </row>
    <row r="700" spans="18:24">
      <c r="R700" s="8"/>
      <c r="S700" s="8"/>
      <c r="T700" s="8"/>
      <c r="W700" s="7"/>
      <c r="X700" s="7"/>
    </row>
    <row r="701" spans="18:24">
      <c r="R701" s="8"/>
      <c r="S701" s="8"/>
      <c r="T701" s="8"/>
      <c r="W701" s="7"/>
      <c r="X701" s="7"/>
    </row>
    <row r="702" spans="18:24">
      <c r="R702" s="8"/>
      <c r="S702" s="8"/>
      <c r="T702" s="8"/>
      <c r="W702" s="7"/>
      <c r="X702" s="7"/>
    </row>
    <row r="703" spans="18:24">
      <c r="R703" s="8"/>
      <c r="S703" s="8"/>
      <c r="T703" s="8"/>
      <c r="W703" s="7"/>
      <c r="X703" s="7"/>
    </row>
    <row r="704" spans="18:24">
      <c r="R704" s="8"/>
      <c r="S704" s="8"/>
      <c r="T704" s="8"/>
      <c r="W704" s="7"/>
      <c r="X704" s="7"/>
    </row>
    <row r="705" spans="18:24">
      <c r="R705" s="8"/>
      <c r="S705" s="8"/>
      <c r="T705" s="8"/>
      <c r="W705" s="7"/>
      <c r="X705" s="7"/>
    </row>
    <row r="706" spans="18:24">
      <c r="R706" s="8"/>
      <c r="S706" s="8"/>
      <c r="T706" s="8"/>
      <c r="W706" s="7"/>
      <c r="X706" s="7"/>
    </row>
    <row r="707" spans="18:24">
      <c r="R707" s="8"/>
      <c r="S707" s="8"/>
      <c r="T707" s="8"/>
      <c r="W707" s="7"/>
      <c r="X707" s="7"/>
    </row>
    <row r="708" spans="18:24">
      <c r="R708" s="8"/>
      <c r="S708" s="8"/>
      <c r="T708" s="8"/>
      <c r="W708" s="7"/>
      <c r="X708" s="7"/>
    </row>
    <row r="709" spans="18:24">
      <c r="R709" s="8"/>
      <c r="S709" s="8"/>
      <c r="T709" s="8"/>
      <c r="W709" s="7"/>
      <c r="X709" s="7"/>
    </row>
    <row r="710" spans="18:24">
      <c r="R710" s="8"/>
      <c r="S710" s="8"/>
      <c r="T710" s="8"/>
      <c r="W710" s="7"/>
      <c r="X710" s="7"/>
    </row>
    <row r="711" spans="18:24">
      <c r="R711" s="8"/>
      <c r="S711" s="8"/>
      <c r="T711" s="8"/>
      <c r="W711" s="7"/>
      <c r="X711" s="7"/>
    </row>
    <row r="712" spans="18:24">
      <c r="R712" s="8"/>
      <c r="S712" s="8"/>
      <c r="T712" s="8"/>
      <c r="W712" s="7"/>
      <c r="X712" s="7"/>
    </row>
    <row r="713" spans="18:24">
      <c r="R713" s="8"/>
      <c r="S713" s="8"/>
      <c r="T713" s="8"/>
      <c r="W713" s="7"/>
      <c r="X713" s="7"/>
    </row>
    <row r="714" spans="18:24">
      <c r="R714" s="8"/>
      <c r="S714" s="8"/>
      <c r="T714" s="8"/>
      <c r="W714" s="7"/>
      <c r="X714" s="7"/>
    </row>
    <row r="715" spans="18:24">
      <c r="R715" s="8"/>
      <c r="S715" s="8"/>
      <c r="T715" s="8"/>
      <c r="W715" s="7"/>
      <c r="X715" s="7"/>
    </row>
    <row r="716" spans="18:24">
      <c r="R716" s="8"/>
      <c r="S716" s="8"/>
      <c r="T716" s="8"/>
      <c r="W716" s="7"/>
      <c r="X716" s="7"/>
    </row>
    <row r="717" spans="18:24">
      <c r="R717" s="8"/>
      <c r="S717" s="8"/>
      <c r="T717" s="8"/>
      <c r="W717" s="7"/>
      <c r="X717" s="7"/>
    </row>
    <row r="718" spans="18:24">
      <c r="R718" s="8"/>
      <c r="S718" s="8"/>
      <c r="T718" s="8"/>
      <c r="W718" s="7"/>
      <c r="X718" s="7"/>
    </row>
    <row r="719" spans="18:24">
      <c r="R719" s="8"/>
      <c r="S719" s="8"/>
      <c r="T719" s="8"/>
      <c r="W719" s="7"/>
      <c r="X719" s="7"/>
    </row>
    <row r="720" spans="18:24">
      <c r="R720" s="8"/>
      <c r="S720" s="8"/>
      <c r="T720" s="8"/>
      <c r="W720" s="7"/>
      <c r="X720" s="7"/>
    </row>
    <row r="721" spans="18:24">
      <c r="R721" s="8"/>
      <c r="S721" s="8"/>
      <c r="T721" s="8"/>
      <c r="W721" s="7"/>
      <c r="X721" s="7"/>
    </row>
    <row r="722" spans="18:24">
      <c r="R722" s="8"/>
      <c r="S722" s="8"/>
      <c r="T722" s="8"/>
      <c r="W722" s="7"/>
      <c r="X722" s="7"/>
    </row>
    <row r="723" spans="18:24">
      <c r="R723" s="8"/>
      <c r="S723" s="8"/>
      <c r="T723" s="8"/>
      <c r="W723" s="7"/>
      <c r="X723" s="7"/>
    </row>
    <row r="724" spans="18:24">
      <c r="R724" s="8"/>
      <c r="S724" s="8"/>
      <c r="T724" s="8"/>
      <c r="W724" s="7"/>
      <c r="X724" s="7"/>
    </row>
    <row r="725" spans="18:24">
      <c r="R725" s="8"/>
      <c r="S725" s="8"/>
      <c r="T725" s="8"/>
      <c r="W725" s="7"/>
      <c r="X725" s="7"/>
    </row>
    <row r="726" spans="18:24">
      <c r="R726" s="8"/>
      <c r="S726" s="8"/>
      <c r="T726" s="8"/>
      <c r="W726" s="7"/>
      <c r="X726" s="7"/>
    </row>
    <row r="727" spans="18:24">
      <c r="R727" s="8"/>
      <c r="S727" s="8"/>
      <c r="T727" s="8"/>
      <c r="W727" s="7"/>
      <c r="X727" s="7"/>
    </row>
    <row r="728" spans="18:24">
      <c r="R728" s="8"/>
      <c r="S728" s="8"/>
      <c r="T728" s="8"/>
      <c r="W728" s="7"/>
      <c r="X728" s="7"/>
    </row>
    <row r="729" spans="18:24">
      <c r="R729" s="8"/>
      <c r="S729" s="8"/>
      <c r="T729" s="8"/>
      <c r="W729" s="7"/>
      <c r="X729" s="7"/>
    </row>
    <row r="730" spans="18:24">
      <c r="R730" s="8"/>
      <c r="S730" s="8"/>
      <c r="T730" s="8"/>
      <c r="W730" s="7"/>
      <c r="X730" s="7"/>
    </row>
    <row r="731" spans="18:24">
      <c r="R731" s="8"/>
      <c r="S731" s="8"/>
      <c r="T731" s="8"/>
      <c r="W731" s="7"/>
      <c r="X731" s="7"/>
    </row>
    <row r="732" spans="18:24">
      <c r="R732" s="8"/>
      <c r="S732" s="8"/>
      <c r="T732" s="8"/>
      <c r="W732" s="7"/>
      <c r="X732" s="7"/>
    </row>
    <row r="733" spans="18:24">
      <c r="R733" s="8"/>
      <c r="S733" s="8"/>
      <c r="T733" s="8"/>
      <c r="W733" s="7"/>
      <c r="X733" s="7"/>
    </row>
    <row r="734" spans="18:24">
      <c r="R734" s="8"/>
      <c r="S734" s="8"/>
      <c r="T734" s="8"/>
      <c r="W734" s="7"/>
      <c r="X734" s="7"/>
    </row>
    <row r="735" spans="18:24">
      <c r="R735" s="8"/>
      <c r="S735" s="8"/>
      <c r="T735" s="8"/>
      <c r="W735" s="7"/>
      <c r="X735" s="7"/>
    </row>
    <row r="736" spans="18:24">
      <c r="R736" s="8"/>
      <c r="S736" s="8"/>
      <c r="T736" s="8"/>
      <c r="W736" s="7"/>
      <c r="X736" s="7"/>
    </row>
    <row r="737" spans="18:24">
      <c r="R737" s="8"/>
      <c r="S737" s="8"/>
      <c r="T737" s="8"/>
      <c r="W737" s="7"/>
      <c r="X737" s="7"/>
    </row>
    <row r="738" spans="18:24">
      <c r="R738" s="8"/>
      <c r="S738" s="8"/>
      <c r="T738" s="8"/>
      <c r="W738" s="7"/>
      <c r="X738" s="7"/>
    </row>
    <row r="739" spans="18:24">
      <c r="R739" s="8"/>
      <c r="S739" s="8"/>
      <c r="T739" s="8"/>
      <c r="W739" s="7"/>
      <c r="X739" s="7"/>
    </row>
    <row r="740" spans="18:24">
      <c r="R740" s="8"/>
      <c r="S740" s="8"/>
      <c r="T740" s="8"/>
      <c r="W740" s="7"/>
      <c r="X740" s="7"/>
    </row>
    <row r="741" spans="18:24">
      <c r="R741" s="8"/>
      <c r="S741" s="8"/>
      <c r="T741" s="8"/>
      <c r="W741" s="7"/>
      <c r="X741" s="7"/>
    </row>
    <row r="742" spans="18:24">
      <c r="R742" s="8"/>
      <c r="S742" s="8"/>
      <c r="T742" s="8"/>
      <c r="W742" s="7"/>
      <c r="X742" s="7"/>
    </row>
    <row r="743" spans="18:24">
      <c r="R743" s="8"/>
      <c r="S743" s="8"/>
      <c r="T743" s="8"/>
      <c r="W743" s="7"/>
      <c r="X743" s="7"/>
    </row>
    <row r="744" spans="18:24">
      <c r="R744" s="8"/>
      <c r="S744" s="8"/>
      <c r="T744" s="8"/>
      <c r="W744" s="7"/>
      <c r="X744" s="7"/>
    </row>
    <row r="745" spans="18:24">
      <c r="R745" s="8"/>
      <c r="S745" s="8"/>
      <c r="T745" s="8"/>
      <c r="W745" s="7"/>
      <c r="X745" s="7"/>
    </row>
    <row r="746" spans="18:24">
      <c r="R746" s="8"/>
      <c r="S746" s="8"/>
      <c r="T746" s="8"/>
      <c r="W746" s="7"/>
      <c r="X746" s="7"/>
    </row>
    <row r="747" spans="18:24">
      <c r="R747" s="8"/>
      <c r="S747" s="8"/>
      <c r="T747" s="8"/>
      <c r="W747" s="7"/>
      <c r="X747" s="7"/>
    </row>
    <row r="748" spans="18:24">
      <c r="R748" s="8"/>
      <c r="S748" s="8"/>
      <c r="T748" s="8"/>
      <c r="W748" s="7"/>
      <c r="X748" s="7"/>
    </row>
    <row r="749" spans="18:24">
      <c r="R749" s="8"/>
      <c r="S749" s="8"/>
      <c r="T749" s="8"/>
      <c r="W749" s="7"/>
      <c r="X749" s="7"/>
    </row>
    <row r="750" spans="18:24">
      <c r="R750" s="8"/>
      <c r="S750" s="8"/>
      <c r="T750" s="8"/>
      <c r="W750" s="7"/>
      <c r="X750" s="7"/>
    </row>
    <row r="751" spans="18:24">
      <c r="R751" s="8"/>
      <c r="S751" s="8"/>
      <c r="T751" s="8"/>
      <c r="W751" s="7"/>
      <c r="X751" s="7"/>
    </row>
    <row r="752" spans="18:24">
      <c r="R752" s="8"/>
      <c r="S752" s="8"/>
      <c r="T752" s="8"/>
      <c r="W752" s="7"/>
      <c r="X752" s="7"/>
    </row>
    <row r="753" spans="18:24">
      <c r="R753" s="8"/>
      <c r="S753" s="8"/>
      <c r="T753" s="8"/>
      <c r="W753" s="7"/>
      <c r="X753" s="7"/>
    </row>
    <row r="754" spans="18:24">
      <c r="R754" s="8"/>
      <c r="S754" s="8"/>
      <c r="T754" s="8"/>
      <c r="W754" s="7"/>
      <c r="X754" s="7"/>
    </row>
    <row r="755" spans="18:24">
      <c r="R755" s="8"/>
      <c r="S755" s="8"/>
      <c r="T755" s="8"/>
      <c r="W755" s="7"/>
      <c r="X755" s="7"/>
    </row>
    <row r="756" spans="18:24">
      <c r="R756" s="8"/>
      <c r="S756" s="8"/>
      <c r="T756" s="8"/>
      <c r="W756" s="7"/>
      <c r="X756" s="7"/>
    </row>
    <row r="757" spans="18:24">
      <c r="R757" s="8"/>
      <c r="S757" s="8"/>
      <c r="T757" s="8"/>
      <c r="W757" s="7"/>
      <c r="X757" s="7"/>
    </row>
    <row r="758" spans="18:24">
      <c r="R758" s="8"/>
      <c r="S758" s="8"/>
      <c r="T758" s="8"/>
      <c r="W758" s="7"/>
      <c r="X758" s="7"/>
    </row>
    <row r="759" spans="18:24">
      <c r="R759" s="8"/>
      <c r="S759" s="8"/>
      <c r="T759" s="8"/>
      <c r="W759" s="7"/>
      <c r="X759" s="7"/>
    </row>
    <row r="760" spans="18:24">
      <c r="R760" s="8"/>
      <c r="S760" s="8"/>
      <c r="T760" s="8"/>
      <c r="W760" s="7"/>
      <c r="X760" s="7"/>
    </row>
    <row r="761" spans="18:24">
      <c r="R761" s="8"/>
      <c r="S761" s="8"/>
      <c r="T761" s="8"/>
      <c r="W761" s="7"/>
      <c r="X761" s="7"/>
    </row>
    <row r="762" spans="18:24">
      <c r="R762" s="8"/>
      <c r="S762" s="8"/>
      <c r="T762" s="8"/>
      <c r="W762" s="7"/>
      <c r="X762" s="7"/>
    </row>
    <row r="763" spans="18:24">
      <c r="R763" s="8"/>
      <c r="S763" s="8"/>
      <c r="T763" s="8"/>
      <c r="W763" s="7"/>
      <c r="X763" s="7"/>
    </row>
    <row r="764" spans="18:24">
      <c r="R764" s="8"/>
      <c r="S764" s="8"/>
      <c r="T764" s="8"/>
      <c r="W764" s="7"/>
      <c r="X764" s="7"/>
    </row>
    <row r="765" spans="18:24">
      <c r="R765" s="8"/>
      <c r="S765" s="8"/>
      <c r="T765" s="8"/>
      <c r="W765" s="7"/>
      <c r="X765" s="7"/>
    </row>
    <row r="766" spans="18:24">
      <c r="R766" s="8"/>
      <c r="S766" s="8"/>
      <c r="T766" s="8"/>
      <c r="W766" s="7"/>
      <c r="X766" s="7"/>
    </row>
    <row r="767" spans="18:24">
      <c r="R767" s="8"/>
      <c r="S767" s="8"/>
      <c r="T767" s="8"/>
      <c r="W767" s="7"/>
      <c r="X767" s="7"/>
    </row>
    <row r="768" spans="18:24">
      <c r="R768" s="8"/>
      <c r="S768" s="8"/>
      <c r="T768" s="8"/>
      <c r="W768" s="7"/>
      <c r="X768" s="7"/>
    </row>
    <row r="769" spans="18:24">
      <c r="R769" s="8"/>
      <c r="S769" s="8"/>
      <c r="T769" s="8"/>
      <c r="W769" s="7"/>
      <c r="X769" s="7"/>
    </row>
    <row r="770" spans="18:24">
      <c r="R770" s="8"/>
      <c r="S770" s="8"/>
      <c r="T770" s="8"/>
      <c r="W770" s="7"/>
      <c r="X770" s="7"/>
    </row>
    <row r="771" spans="18:24">
      <c r="R771" s="8"/>
      <c r="S771" s="8"/>
      <c r="T771" s="8"/>
      <c r="W771" s="7"/>
      <c r="X771" s="7"/>
    </row>
    <row r="772" spans="18:24">
      <c r="R772" s="8"/>
      <c r="S772" s="8"/>
      <c r="T772" s="8"/>
      <c r="W772" s="7"/>
      <c r="X772" s="7"/>
    </row>
    <row r="773" spans="18:24">
      <c r="R773" s="8"/>
      <c r="S773" s="8"/>
      <c r="T773" s="8"/>
      <c r="W773" s="7"/>
      <c r="X773" s="7"/>
    </row>
    <row r="774" spans="18:24">
      <c r="R774" s="8"/>
      <c r="S774" s="8"/>
      <c r="T774" s="8"/>
      <c r="W774" s="7"/>
      <c r="X774" s="7"/>
    </row>
    <row r="775" spans="18:24">
      <c r="R775" s="8"/>
      <c r="S775" s="8"/>
      <c r="T775" s="8"/>
      <c r="W775" s="7"/>
      <c r="X775" s="7"/>
    </row>
    <row r="776" spans="18:24">
      <c r="R776" s="8"/>
      <c r="S776" s="8"/>
      <c r="T776" s="8"/>
      <c r="W776" s="7"/>
      <c r="X776" s="7"/>
    </row>
    <row r="777" spans="18:24">
      <c r="R777" s="8"/>
      <c r="S777" s="8"/>
      <c r="T777" s="8"/>
      <c r="W777" s="7"/>
      <c r="X777" s="7"/>
    </row>
    <row r="778" spans="18:24">
      <c r="R778" s="8"/>
      <c r="S778" s="8"/>
      <c r="T778" s="8"/>
      <c r="W778" s="7"/>
      <c r="X778" s="7"/>
    </row>
    <row r="779" spans="18:24">
      <c r="R779" s="8"/>
      <c r="S779" s="8"/>
      <c r="T779" s="8"/>
      <c r="W779" s="7"/>
      <c r="X779" s="7"/>
    </row>
    <row r="780" spans="18:24">
      <c r="R780" s="8"/>
      <c r="S780" s="8"/>
      <c r="T780" s="8"/>
      <c r="W780" s="7"/>
      <c r="X780" s="7"/>
    </row>
    <row r="781" spans="18:24">
      <c r="R781" s="8"/>
      <c r="S781" s="8"/>
      <c r="T781" s="8"/>
      <c r="W781" s="7"/>
      <c r="X781" s="7"/>
    </row>
    <row r="782" spans="18:24">
      <c r="R782" s="8"/>
      <c r="S782" s="8"/>
      <c r="T782" s="8"/>
      <c r="W782" s="7"/>
      <c r="X782" s="7"/>
    </row>
    <row r="783" spans="18:24">
      <c r="R783" s="8"/>
      <c r="S783" s="8"/>
      <c r="T783" s="8"/>
      <c r="W783" s="7"/>
      <c r="X783" s="7"/>
    </row>
    <row r="784" spans="18:24">
      <c r="R784" s="8"/>
      <c r="S784" s="8"/>
      <c r="T784" s="8"/>
      <c r="W784" s="7"/>
      <c r="X784" s="7"/>
    </row>
    <row r="785" spans="18:24">
      <c r="R785" s="8"/>
      <c r="S785" s="8"/>
      <c r="T785" s="8"/>
      <c r="W785" s="7"/>
      <c r="X785" s="7"/>
    </row>
    <row r="786" spans="18:24">
      <c r="R786" s="8"/>
      <c r="S786" s="8"/>
      <c r="T786" s="8"/>
      <c r="W786" s="7"/>
      <c r="X786" s="7"/>
    </row>
    <row r="787" spans="18:24">
      <c r="R787" s="8"/>
      <c r="S787" s="8"/>
      <c r="T787" s="8"/>
      <c r="W787" s="7"/>
      <c r="X787" s="7"/>
    </row>
    <row r="788" spans="18:24">
      <c r="R788" s="8"/>
      <c r="S788" s="8"/>
      <c r="T788" s="8"/>
      <c r="W788" s="7"/>
      <c r="X788" s="7"/>
    </row>
    <row r="789" spans="18:24">
      <c r="R789" s="8"/>
      <c r="S789" s="8"/>
      <c r="T789" s="8"/>
      <c r="W789" s="7"/>
      <c r="X789" s="7"/>
    </row>
    <row r="790" spans="18:24">
      <c r="R790" s="8"/>
      <c r="S790" s="8"/>
      <c r="T790" s="8"/>
      <c r="W790" s="7"/>
      <c r="X790" s="7"/>
    </row>
    <row r="791" spans="18:24">
      <c r="R791" s="8"/>
      <c r="S791" s="8"/>
      <c r="T791" s="8"/>
      <c r="W791" s="7"/>
      <c r="X791" s="7"/>
    </row>
    <row r="792" spans="18:24">
      <c r="R792" s="8"/>
      <c r="S792" s="8"/>
      <c r="T792" s="8"/>
      <c r="W792" s="7"/>
      <c r="X792" s="7"/>
    </row>
    <row r="793" spans="18:24">
      <c r="R793" s="8"/>
      <c r="S793" s="8"/>
      <c r="T793" s="8"/>
      <c r="W793" s="7"/>
      <c r="X793" s="7"/>
    </row>
    <row r="794" spans="18:24">
      <c r="R794" s="8"/>
      <c r="S794" s="8"/>
      <c r="T794" s="8"/>
      <c r="W794" s="7"/>
      <c r="X794" s="7"/>
    </row>
    <row r="795" spans="18:24">
      <c r="R795" s="8"/>
      <c r="S795" s="8"/>
      <c r="T795" s="8"/>
      <c r="W795" s="7"/>
      <c r="X795" s="7"/>
    </row>
    <row r="796" spans="18:24">
      <c r="R796" s="8"/>
      <c r="S796" s="8"/>
      <c r="T796" s="8"/>
      <c r="W796" s="7"/>
      <c r="X796" s="7"/>
    </row>
    <row r="797" spans="18:24">
      <c r="R797" s="8"/>
      <c r="S797" s="8"/>
      <c r="T797" s="8"/>
      <c r="W797" s="7"/>
      <c r="X797" s="7"/>
    </row>
    <row r="798" spans="18:24">
      <c r="R798" s="8"/>
      <c r="S798" s="8"/>
      <c r="T798" s="8"/>
      <c r="W798" s="7"/>
      <c r="X798" s="7"/>
    </row>
    <row r="799" spans="18:24">
      <c r="R799" s="8"/>
      <c r="S799" s="8"/>
      <c r="T799" s="8"/>
      <c r="W799" s="7"/>
      <c r="X799" s="7"/>
    </row>
    <row r="800" spans="18:24">
      <c r="R800" s="8"/>
      <c r="S800" s="8"/>
      <c r="T800" s="8"/>
      <c r="W800" s="7"/>
      <c r="X800" s="7"/>
    </row>
    <row r="801" spans="18:24">
      <c r="R801" s="8"/>
      <c r="S801" s="8"/>
      <c r="T801" s="8"/>
      <c r="W801" s="7"/>
      <c r="X801" s="7"/>
    </row>
    <row r="802" spans="18:24">
      <c r="R802" s="8"/>
      <c r="S802" s="8"/>
      <c r="T802" s="8"/>
      <c r="W802" s="7"/>
      <c r="X802" s="7"/>
    </row>
    <row r="803" spans="18:24">
      <c r="R803" s="8"/>
      <c r="S803" s="8"/>
      <c r="T803" s="8"/>
      <c r="W803" s="7"/>
      <c r="X803" s="7"/>
    </row>
    <row r="804" spans="18:24">
      <c r="R804" s="8"/>
      <c r="S804" s="8"/>
      <c r="T804" s="8"/>
      <c r="W804" s="7"/>
      <c r="X804" s="7"/>
    </row>
    <row r="805" spans="18:24">
      <c r="R805" s="8"/>
      <c r="S805" s="8"/>
      <c r="T805" s="8"/>
      <c r="W805" s="7"/>
      <c r="X805" s="7"/>
    </row>
    <row r="806" spans="18:24">
      <c r="R806" s="8"/>
      <c r="S806" s="8"/>
      <c r="T806" s="8"/>
      <c r="W806" s="7"/>
      <c r="X806" s="7"/>
    </row>
    <row r="807" spans="18:24">
      <c r="R807" s="8"/>
      <c r="S807" s="8"/>
      <c r="T807" s="8"/>
      <c r="W807" s="7"/>
      <c r="X807" s="7"/>
    </row>
    <row r="808" spans="18:24">
      <c r="R808" s="8"/>
      <c r="S808" s="8"/>
      <c r="T808" s="8"/>
      <c r="W808" s="7"/>
      <c r="X808" s="7"/>
    </row>
    <row r="809" spans="18:24">
      <c r="R809" s="8"/>
      <c r="S809" s="8"/>
      <c r="T809" s="8"/>
      <c r="W809" s="7"/>
      <c r="X809" s="7"/>
    </row>
    <row r="810" spans="18:24">
      <c r="R810" s="8"/>
      <c r="S810" s="8"/>
      <c r="T810" s="8"/>
      <c r="W810" s="7"/>
      <c r="X810" s="7"/>
    </row>
    <row r="811" spans="18:24">
      <c r="R811" s="8"/>
      <c r="S811" s="8"/>
      <c r="T811" s="8"/>
      <c r="W811" s="7"/>
      <c r="X811" s="7"/>
    </row>
    <row r="812" spans="18:24">
      <c r="R812" s="8"/>
      <c r="S812" s="8"/>
      <c r="T812" s="8"/>
      <c r="W812" s="7"/>
      <c r="X812" s="7"/>
    </row>
    <row r="813" spans="18:24">
      <c r="R813" s="8"/>
      <c r="S813" s="8"/>
      <c r="T813" s="8"/>
      <c r="W813" s="7"/>
      <c r="X813" s="7"/>
    </row>
    <row r="814" spans="18:24">
      <c r="R814" s="8"/>
      <c r="S814" s="8"/>
      <c r="T814" s="8"/>
      <c r="W814" s="7"/>
      <c r="X814" s="7"/>
    </row>
    <row r="815" spans="18:24">
      <c r="R815" s="8"/>
      <c r="S815" s="8"/>
      <c r="T815" s="8"/>
      <c r="W815" s="7"/>
      <c r="X815" s="7"/>
    </row>
    <row r="816" spans="18:24">
      <c r="R816" s="8"/>
      <c r="S816" s="8"/>
      <c r="T816" s="8"/>
      <c r="W816" s="7"/>
      <c r="X816" s="7"/>
    </row>
    <row r="817" spans="18:24">
      <c r="R817" s="8"/>
      <c r="S817" s="8"/>
      <c r="T817" s="8"/>
      <c r="W817" s="7"/>
      <c r="X817" s="7"/>
    </row>
    <row r="818" spans="18:24">
      <c r="R818" s="8"/>
      <c r="S818" s="8"/>
      <c r="T818" s="8"/>
      <c r="W818" s="7"/>
      <c r="X818" s="7"/>
    </row>
    <row r="819" spans="18:24">
      <c r="R819" s="8"/>
      <c r="S819" s="8"/>
      <c r="T819" s="8"/>
      <c r="W819" s="7"/>
      <c r="X819" s="7"/>
    </row>
    <row r="820" spans="18:24">
      <c r="R820" s="8"/>
      <c r="S820" s="8"/>
      <c r="T820" s="8"/>
      <c r="W820" s="7"/>
      <c r="X820" s="7"/>
    </row>
    <row r="821" spans="18:24">
      <c r="R821" s="8"/>
      <c r="S821" s="8"/>
      <c r="T821" s="8"/>
      <c r="W821" s="7"/>
      <c r="X821" s="7"/>
    </row>
    <row r="822" spans="18:24">
      <c r="R822" s="8"/>
      <c r="S822" s="8"/>
      <c r="T822" s="8"/>
      <c r="W822" s="7"/>
      <c r="X822" s="7"/>
    </row>
    <row r="823" spans="18:24">
      <c r="R823" s="8"/>
      <c r="S823" s="8"/>
      <c r="T823" s="8"/>
      <c r="W823" s="7"/>
      <c r="X823" s="7"/>
    </row>
    <row r="824" spans="18:24">
      <c r="R824" s="8"/>
      <c r="S824" s="8"/>
      <c r="T824" s="8"/>
      <c r="W824" s="7"/>
      <c r="X824" s="7"/>
    </row>
    <row r="825" spans="18:24">
      <c r="R825" s="8"/>
      <c r="S825" s="8"/>
      <c r="T825" s="8"/>
      <c r="W825" s="7"/>
      <c r="X825" s="7"/>
    </row>
    <row r="826" spans="18:24">
      <c r="R826" s="8"/>
      <c r="S826" s="8"/>
      <c r="T826" s="8"/>
      <c r="W826" s="7"/>
      <c r="X826" s="7"/>
    </row>
    <row r="827" spans="18:24">
      <c r="R827" s="8"/>
      <c r="S827" s="8"/>
      <c r="T827" s="8"/>
      <c r="W827" s="7"/>
      <c r="X827" s="7"/>
    </row>
    <row r="828" spans="18:24">
      <c r="R828" s="8"/>
      <c r="S828" s="8"/>
      <c r="T828" s="8"/>
      <c r="W828" s="7"/>
      <c r="X828" s="7"/>
    </row>
    <row r="829" spans="18:24">
      <c r="R829" s="8"/>
      <c r="S829" s="8"/>
      <c r="T829" s="8"/>
      <c r="W829" s="7"/>
      <c r="X829" s="7"/>
    </row>
    <row r="830" spans="18:24">
      <c r="R830" s="8"/>
      <c r="S830" s="8"/>
      <c r="T830" s="8"/>
      <c r="W830" s="7"/>
      <c r="X830" s="7"/>
    </row>
    <row r="831" spans="18:24">
      <c r="R831" s="8"/>
      <c r="S831" s="8"/>
      <c r="T831" s="8"/>
      <c r="W831" s="7"/>
      <c r="X831" s="7"/>
    </row>
    <row r="832" spans="18:24">
      <c r="R832" s="8"/>
      <c r="S832" s="8"/>
      <c r="T832" s="8"/>
      <c r="W832" s="7"/>
      <c r="X832" s="7"/>
    </row>
    <row r="833" spans="18:24">
      <c r="R833" s="8"/>
      <c r="S833" s="8"/>
      <c r="T833" s="8"/>
      <c r="W833" s="7"/>
      <c r="X833" s="7"/>
    </row>
    <row r="834" spans="18:24">
      <c r="R834" s="8"/>
      <c r="S834" s="8"/>
      <c r="T834" s="8"/>
      <c r="W834" s="7"/>
      <c r="X834" s="7"/>
    </row>
    <row r="835" spans="18:24">
      <c r="R835" s="8"/>
      <c r="S835" s="8"/>
      <c r="T835" s="8"/>
      <c r="W835" s="7"/>
      <c r="X835" s="7"/>
    </row>
    <row r="836" spans="18:24">
      <c r="R836" s="8"/>
      <c r="S836" s="8"/>
      <c r="T836" s="8"/>
      <c r="W836" s="7"/>
      <c r="X836" s="7"/>
    </row>
    <row r="837" spans="18:24">
      <c r="R837" s="8"/>
      <c r="S837" s="8"/>
      <c r="T837" s="8"/>
      <c r="W837" s="7"/>
      <c r="X837" s="7"/>
    </row>
    <row r="838" spans="18:24">
      <c r="R838" s="8"/>
      <c r="S838" s="8"/>
      <c r="T838" s="8"/>
      <c r="W838" s="7"/>
      <c r="X838" s="7"/>
    </row>
    <row r="839" spans="18:24">
      <c r="R839" s="8"/>
      <c r="S839" s="8"/>
      <c r="T839" s="8"/>
      <c r="W839" s="7"/>
      <c r="X839" s="7"/>
    </row>
    <row r="840" spans="18:24">
      <c r="R840" s="8"/>
      <c r="S840" s="8"/>
      <c r="T840" s="8"/>
      <c r="W840" s="7"/>
      <c r="X840" s="7"/>
    </row>
    <row r="841" spans="18:24">
      <c r="R841" s="8"/>
      <c r="S841" s="8"/>
      <c r="T841" s="8"/>
      <c r="W841" s="7"/>
      <c r="X841" s="7"/>
    </row>
    <row r="842" spans="18:24">
      <c r="R842" s="8"/>
      <c r="S842" s="8"/>
      <c r="T842" s="8"/>
      <c r="W842" s="7"/>
      <c r="X842" s="7"/>
    </row>
    <row r="843" spans="18:24">
      <c r="R843" s="8"/>
      <c r="S843" s="8"/>
      <c r="T843" s="8"/>
      <c r="W843" s="7"/>
      <c r="X843" s="7"/>
    </row>
    <row r="844" spans="18:24">
      <c r="R844" s="8"/>
      <c r="S844" s="8"/>
      <c r="T844" s="8"/>
      <c r="W844" s="7"/>
      <c r="X844" s="7"/>
    </row>
    <row r="845" spans="18:24">
      <c r="R845" s="8"/>
      <c r="S845" s="8"/>
      <c r="T845" s="8"/>
      <c r="W845" s="7"/>
      <c r="X845" s="7"/>
    </row>
    <row r="846" spans="18:24">
      <c r="R846" s="8"/>
      <c r="S846" s="8"/>
      <c r="T846" s="8"/>
      <c r="W846" s="7"/>
      <c r="X846" s="7"/>
    </row>
    <row r="847" spans="18:24">
      <c r="R847" s="8"/>
      <c r="S847" s="8"/>
      <c r="T847" s="8"/>
      <c r="W847" s="7"/>
      <c r="X847" s="7"/>
    </row>
    <row r="848" spans="18:24">
      <c r="R848" s="8"/>
      <c r="S848" s="8"/>
      <c r="T848" s="8"/>
      <c r="W848" s="7"/>
      <c r="X848" s="7"/>
    </row>
    <row r="849" spans="18:24">
      <c r="R849" s="8"/>
      <c r="S849" s="8"/>
      <c r="T849" s="8"/>
      <c r="W849" s="7"/>
      <c r="X849" s="7"/>
    </row>
    <row r="850" spans="18:24">
      <c r="R850" s="8"/>
      <c r="S850" s="8"/>
      <c r="T850" s="8"/>
      <c r="W850" s="7"/>
      <c r="X850" s="7"/>
    </row>
    <row r="851" spans="18:24">
      <c r="R851" s="8"/>
      <c r="S851" s="8"/>
      <c r="T851" s="8"/>
      <c r="W851" s="7"/>
      <c r="X851" s="7"/>
    </row>
    <row r="852" spans="18:24">
      <c r="R852" s="8"/>
      <c r="S852" s="8"/>
      <c r="T852" s="8"/>
      <c r="W852" s="7"/>
      <c r="X852" s="7"/>
    </row>
    <row r="853" spans="18:24">
      <c r="R853" s="8"/>
      <c r="S853" s="8"/>
      <c r="T853" s="8"/>
      <c r="W853" s="7"/>
      <c r="X853" s="7"/>
    </row>
    <row r="854" spans="18:24">
      <c r="R854" s="8"/>
      <c r="S854" s="8"/>
      <c r="T854" s="8"/>
      <c r="W854" s="7"/>
      <c r="X854" s="7"/>
    </row>
    <row r="855" spans="18:24">
      <c r="R855" s="8"/>
      <c r="S855" s="8"/>
      <c r="T855" s="8"/>
      <c r="W855" s="7"/>
      <c r="X855" s="7"/>
    </row>
    <row r="856" spans="18:24">
      <c r="R856" s="8"/>
      <c r="S856" s="8"/>
      <c r="T856" s="8"/>
      <c r="W856" s="7"/>
      <c r="X856" s="7"/>
    </row>
    <row r="857" spans="18:24">
      <c r="R857" s="8"/>
      <c r="S857" s="8"/>
      <c r="T857" s="8"/>
      <c r="W857" s="7"/>
      <c r="X857" s="7"/>
    </row>
    <row r="858" spans="18:24">
      <c r="R858" s="8"/>
      <c r="S858" s="8"/>
      <c r="T858" s="8"/>
      <c r="W858" s="7"/>
      <c r="X858" s="7"/>
    </row>
    <row r="859" spans="18:24">
      <c r="R859" s="8"/>
      <c r="S859" s="8"/>
      <c r="T859" s="8"/>
      <c r="W859" s="7"/>
      <c r="X859" s="7"/>
    </row>
    <row r="860" spans="18:24">
      <c r="R860" s="8"/>
      <c r="S860" s="8"/>
      <c r="T860" s="8"/>
      <c r="W860" s="7"/>
      <c r="X860" s="7"/>
    </row>
    <row r="861" spans="18:24">
      <c r="R861" s="8"/>
      <c r="S861" s="8"/>
      <c r="T861" s="8"/>
      <c r="W861" s="7"/>
      <c r="X861" s="7"/>
    </row>
    <row r="862" spans="18:24">
      <c r="R862" s="8"/>
      <c r="S862" s="8"/>
      <c r="T862" s="8"/>
      <c r="W862" s="7"/>
      <c r="X862" s="7"/>
    </row>
    <row r="863" spans="18:24">
      <c r="R863" s="8"/>
      <c r="S863" s="8"/>
      <c r="T863" s="8"/>
      <c r="W863" s="7"/>
      <c r="X863" s="7"/>
    </row>
    <row r="864" spans="18:24">
      <c r="R864" s="8"/>
      <c r="S864" s="8"/>
      <c r="T864" s="8"/>
      <c r="W864" s="7"/>
      <c r="X864" s="7"/>
    </row>
    <row r="865" spans="18:24">
      <c r="R865" s="8"/>
      <c r="S865" s="8"/>
      <c r="T865" s="8"/>
      <c r="W865" s="7"/>
      <c r="X865" s="7"/>
    </row>
    <row r="866" spans="18:24">
      <c r="R866" s="8"/>
      <c r="S866" s="8"/>
      <c r="T866" s="8"/>
      <c r="W866" s="7"/>
      <c r="X866" s="7"/>
    </row>
    <row r="867" spans="18:24">
      <c r="R867" s="8"/>
      <c r="S867" s="8"/>
      <c r="T867" s="8"/>
      <c r="W867" s="7"/>
      <c r="X867" s="7"/>
    </row>
    <row r="868" spans="18:24">
      <c r="R868" s="8"/>
      <c r="S868" s="8"/>
      <c r="T868" s="8"/>
      <c r="W868" s="7"/>
      <c r="X868" s="7"/>
    </row>
    <row r="869" spans="18:24">
      <c r="R869" s="8"/>
      <c r="S869" s="8"/>
      <c r="T869" s="8"/>
      <c r="W869" s="7"/>
      <c r="X869" s="7"/>
    </row>
    <row r="870" spans="18:24">
      <c r="R870" s="8"/>
      <c r="S870" s="8"/>
      <c r="T870" s="8"/>
      <c r="W870" s="7"/>
      <c r="X870" s="7"/>
    </row>
    <row r="871" spans="18:24">
      <c r="R871" s="8"/>
      <c r="S871" s="8"/>
      <c r="T871" s="8"/>
      <c r="W871" s="7"/>
      <c r="X871" s="7"/>
    </row>
    <row r="872" spans="18:24">
      <c r="R872" s="8"/>
      <c r="S872" s="8"/>
      <c r="T872" s="8"/>
      <c r="W872" s="7"/>
      <c r="X872" s="7"/>
    </row>
    <row r="873" spans="18:24">
      <c r="R873" s="8"/>
      <c r="S873" s="8"/>
      <c r="T873" s="8"/>
      <c r="W873" s="7"/>
      <c r="X873" s="7"/>
    </row>
    <row r="874" spans="18:24">
      <c r="R874" s="8"/>
      <c r="S874" s="8"/>
      <c r="T874" s="8"/>
      <c r="W874" s="7"/>
      <c r="X874" s="7"/>
    </row>
    <row r="875" spans="18:24">
      <c r="R875" s="8"/>
      <c r="S875" s="8"/>
      <c r="T875" s="8"/>
      <c r="W875" s="7"/>
      <c r="X875" s="7"/>
    </row>
    <row r="876" spans="18:24">
      <c r="R876" s="8"/>
      <c r="S876" s="8"/>
      <c r="T876" s="8"/>
      <c r="W876" s="7"/>
      <c r="X876" s="7"/>
    </row>
    <row r="877" spans="18:24">
      <c r="R877" s="8"/>
      <c r="S877" s="8"/>
      <c r="T877" s="8"/>
      <c r="W877" s="7"/>
      <c r="X877" s="7"/>
    </row>
    <row r="878" spans="18:24">
      <c r="R878" s="8"/>
      <c r="S878" s="8"/>
      <c r="T878" s="8"/>
      <c r="W878" s="7"/>
      <c r="X878" s="7"/>
    </row>
    <row r="879" spans="18:24">
      <c r="R879" s="8"/>
      <c r="S879" s="8"/>
      <c r="T879" s="8"/>
      <c r="W879" s="7"/>
      <c r="X879" s="7"/>
    </row>
    <row r="880" spans="18:24">
      <c r="R880" s="8"/>
      <c r="S880" s="8"/>
      <c r="T880" s="8"/>
      <c r="W880" s="7"/>
      <c r="X880" s="7"/>
    </row>
    <row r="881" spans="18:24">
      <c r="R881" s="8"/>
      <c r="S881" s="8"/>
      <c r="T881" s="8"/>
      <c r="W881" s="7"/>
      <c r="X881" s="7"/>
    </row>
    <row r="882" spans="18:24">
      <c r="R882" s="8"/>
      <c r="S882" s="8"/>
      <c r="T882" s="8"/>
      <c r="W882" s="7"/>
      <c r="X882" s="7"/>
    </row>
    <row r="883" spans="18:24">
      <c r="R883" s="8"/>
      <c r="S883" s="8"/>
      <c r="T883" s="8"/>
      <c r="W883" s="7"/>
      <c r="X883" s="7"/>
    </row>
    <row r="884" spans="18:24">
      <c r="R884" s="8"/>
      <c r="S884" s="8"/>
      <c r="T884" s="8"/>
      <c r="W884" s="7"/>
      <c r="X884" s="7"/>
    </row>
    <row r="885" spans="18:24">
      <c r="R885" s="8"/>
      <c r="S885" s="8"/>
      <c r="T885" s="8"/>
      <c r="W885" s="7"/>
      <c r="X885" s="7"/>
    </row>
    <row r="886" spans="18:24">
      <c r="R886" s="8"/>
      <c r="S886" s="8"/>
      <c r="T886" s="8"/>
      <c r="W886" s="7"/>
      <c r="X886" s="7"/>
    </row>
    <row r="887" spans="18:24">
      <c r="R887" s="8"/>
      <c r="S887" s="8"/>
      <c r="T887" s="8"/>
      <c r="W887" s="7"/>
      <c r="X887" s="7"/>
    </row>
    <row r="888" spans="18:24">
      <c r="R888" s="8"/>
      <c r="S888" s="8"/>
      <c r="T888" s="8"/>
      <c r="W888" s="7"/>
      <c r="X888" s="7"/>
    </row>
    <row r="889" spans="18:24">
      <c r="R889" s="8"/>
      <c r="S889" s="8"/>
      <c r="T889" s="8"/>
      <c r="W889" s="7"/>
      <c r="X889" s="7"/>
    </row>
    <row r="890" spans="18:24">
      <c r="R890" s="8"/>
      <c r="S890" s="8"/>
      <c r="T890" s="8"/>
      <c r="W890" s="7"/>
      <c r="X890" s="7"/>
    </row>
    <row r="891" spans="18:24">
      <c r="R891" s="8"/>
      <c r="S891" s="8"/>
      <c r="T891" s="8"/>
      <c r="W891" s="7"/>
      <c r="X891" s="7"/>
    </row>
    <row r="892" spans="18:24">
      <c r="R892" s="8"/>
      <c r="S892" s="8"/>
      <c r="T892" s="8"/>
      <c r="W892" s="7"/>
      <c r="X892" s="7"/>
    </row>
    <row r="893" spans="18:24">
      <c r="R893" s="8"/>
      <c r="S893" s="8"/>
      <c r="T893" s="8"/>
      <c r="W893" s="7"/>
      <c r="X893" s="7"/>
    </row>
    <row r="894" spans="18:24">
      <c r="R894" s="8"/>
      <c r="S894" s="8"/>
      <c r="T894" s="8"/>
      <c r="W894" s="7"/>
      <c r="X894" s="7"/>
    </row>
    <row r="895" spans="18:24">
      <c r="R895" s="8"/>
      <c r="S895" s="8"/>
      <c r="T895" s="8"/>
      <c r="W895" s="7"/>
      <c r="X895" s="7"/>
    </row>
    <row r="896" spans="18:24">
      <c r="R896" s="8"/>
      <c r="S896" s="8"/>
      <c r="T896" s="8"/>
      <c r="W896" s="7"/>
      <c r="X896" s="7"/>
    </row>
    <row r="897" spans="18:24">
      <c r="R897" s="8"/>
      <c r="S897" s="8"/>
      <c r="T897" s="8"/>
      <c r="W897" s="7"/>
      <c r="X897" s="7"/>
    </row>
    <row r="898" spans="18:24">
      <c r="R898" s="8"/>
      <c r="S898" s="8"/>
      <c r="T898" s="8"/>
      <c r="W898" s="7"/>
      <c r="X898" s="7"/>
    </row>
    <row r="899" spans="18:24">
      <c r="R899" s="8"/>
      <c r="S899" s="8"/>
      <c r="T899" s="8"/>
      <c r="W899" s="7"/>
      <c r="X899" s="7"/>
    </row>
    <row r="900" spans="18:24">
      <c r="R900" s="8"/>
      <c r="S900" s="8"/>
      <c r="T900" s="8"/>
      <c r="W900" s="7"/>
      <c r="X900" s="7"/>
    </row>
    <row r="901" spans="18:24">
      <c r="R901" s="8"/>
      <c r="S901" s="8"/>
      <c r="T901" s="8"/>
      <c r="W901" s="7"/>
      <c r="X901" s="7"/>
    </row>
    <row r="902" spans="18:24">
      <c r="R902" s="8"/>
      <c r="S902" s="8"/>
      <c r="T902" s="8"/>
      <c r="W902" s="7"/>
      <c r="X902" s="7"/>
    </row>
    <row r="903" spans="18:24">
      <c r="R903" s="8"/>
      <c r="S903" s="8"/>
      <c r="T903" s="8"/>
      <c r="W903" s="7"/>
      <c r="X903" s="7"/>
    </row>
    <row r="904" spans="18:24">
      <c r="R904" s="8"/>
      <c r="S904" s="8"/>
      <c r="T904" s="8"/>
      <c r="W904" s="7"/>
      <c r="X904" s="7"/>
    </row>
    <row r="905" spans="18:24">
      <c r="R905" s="8"/>
      <c r="S905" s="8"/>
      <c r="T905" s="8"/>
      <c r="W905" s="7"/>
      <c r="X905" s="7"/>
    </row>
    <row r="906" spans="18:24">
      <c r="R906" s="8"/>
      <c r="S906" s="8"/>
      <c r="T906" s="8"/>
      <c r="W906" s="7"/>
      <c r="X906" s="7"/>
    </row>
    <row r="907" spans="18:24">
      <c r="R907" s="8"/>
      <c r="S907" s="8"/>
      <c r="T907" s="8"/>
      <c r="W907" s="7"/>
      <c r="X907" s="7"/>
    </row>
    <row r="908" spans="18:24">
      <c r="R908" s="8"/>
      <c r="S908" s="8"/>
      <c r="T908" s="8"/>
      <c r="W908" s="7"/>
      <c r="X908" s="7"/>
    </row>
    <row r="909" spans="18:24">
      <c r="R909" s="8"/>
      <c r="S909" s="8"/>
      <c r="T909" s="8"/>
      <c r="W909" s="7"/>
      <c r="X909" s="7"/>
    </row>
    <row r="910" spans="18:24">
      <c r="R910" s="8"/>
      <c r="S910" s="8"/>
      <c r="T910" s="8"/>
      <c r="W910" s="7"/>
      <c r="X910" s="7"/>
    </row>
    <row r="911" spans="18:24">
      <c r="R911" s="8"/>
      <c r="S911" s="8"/>
      <c r="T911" s="8"/>
      <c r="W911" s="7"/>
      <c r="X911" s="7"/>
    </row>
    <row r="912" spans="18:24">
      <c r="R912" s="8"/>
      <c r="S912" s="8"/>
      <c r="T912" s="8"/>
      <c r="W912" s="7"/>
      <c r="X912" s="7"/>
    </row>
    <row r="913" spans="18:24">
      <c r="R913" s="8"/>
      <c r="S913" s="8"/>
      <c r="T913" s="8"/>
      <c r="W913" s="7"/>
      <c r="X913" s="7"/>
    </row>
    <row r="914" spans="18:24">
      <c r="R914" s="8"/>
      <c r="S914" s="8"/>
      <c r="T914" s="8"/>
      <c r="W914" s="7"/>
      <c r="X914" s="7"/>
    </row>
    <row r="915" spans="18:24">
      <c r="R915" s="8"/>
      <c r="S915" s="8"/>
      <c r="T915" s="8"/>
      <c r="W915" s="7"/>
      <c r="X915" s="7"/>
    </row>
    <row r="916" spans="18:24">
      <c r="R916" s="8"/>
      <c r="S916" s="8"/>
      <c r="T916" s="8"/>
      <c r="W916" s="7"/>
      <c r="X916" s="7"/>
    </row>
    <row r="917" spans="18:24">
      <c r="R917" s="8"/>
      <c r="S917" s="8"/>
      <c r="T917" s="8"/>
      <c r="W917" s="7"/>
      <c r="X917" s="7"/>
    </row>
    <row r="918" spans="18:24">
      <c r="R918" s="8"/>
      <c r="S918" s="8"/>
      <c r="T918" s="8"/>
      <c r="W918" s="7"/>
      <c r="X918" s="7"/>
    </row>
    <row r="919" spans="18:24">
      <c r="R919" s="8"/>
      <c r="S919" s="8"/>
      <c r="T919" s="8"/>
      <c r="W919" s="7"/>
      <c r="X919" s="7"/>
    </row>
    <row r="920" spans="18:24">
      <c r="R920" s="8"/>
      <c r="S920" s="8"/>
      <c r="T920" s="8"/>
      <c r="W920" s="7"/>
      <c r="X920" s="7"/>
    </row>
    <row r="921" spans="18:24">
      <c r="R921" s="8"/>
      <c r="S921" s="8"/>
      <c r="T921" s="8"/>
      <c r="W921" s="7"/>
      <c r="X921" s="7"/>
    </row>
    <row r="922" spans="18:24">
      <c r="R922" s="8"/>
      <c r="S922" s="8"/>
      <c r="T922" s="8"/>
      <c r="W922" s="7"/>
      <c r="X922" s="7"/>
    </row>
    <row r="923" spans="18:24">
      <c r="R923" s="8"/>
      <c r="S923" s="8"/>
      <c r="T923" s="8"/>
      <c r="W923" s="7"/>
      <c r="X923" s="7"/>
    </row>
    <row r="924" spans="18:24">
      <c r="R924" s="8"/>
      <c r="S924" s="8"/>
      <c r="T924" s="8"/>
      <c r="W924" s="7"/>
      <c r="X924" s="7"/>
    </row>
    <row r="925" spans="18:24">
      <c r="R925" s="8"/>
      <c r="S925" s="8"/>
      <c r="T925" s="8"/>
      <c r="W925" s="7"/>
      <c r="X925" s="7"/>
    </row>
    <row r="926" spans="18:24">
      <c r="R926" s="8"/>
      <c r="S926" s="8"/>
      <c r="T926" s="8"/>
      <c r="W926" s="7"/>
      <c r="X926" s="7"/>
    </row>
    <row r="927" spans="18:24">
      <c r="R927" s="8"/>
      <c r="S927" s="8"/>
      <c r="T927" s="8"/>
      <c r="W927" s="7"/>
      <c r="X927" s="7"/>
    </row>
    <row r="928" spans="18:24">
      <c r="R928" s="8"/>
      <c r="S928" s="8"/>
      <c r="T928" s="8"/>
      <c r="W928" s="7"/>
      <c r="X928" s="7"/>
    </row>
    <row r="929" spans="18:24">
      <c r="R929" s="8"/>
      <c r="S929" s="8"/>
      <c r="T929" s="8"/>
      <c r="W929" s="7"/>
      <c r="X929" s="7"/>
    </row>
    <row r="930" spans="18:24">
      <c r="R930" s="8"/>
      <c r="S930" s="8"/>
      <c r="T930" s="8"/>
      <c r="W930" s="7"/>
      <c r="X930" s="7"/>
    </row>
    <row r="931" spans="18:24">
      <c r="R931" s="8"/>
      <c r="S931" s="8"/>
      <c r="T931" s="8"/>
      <c r="W931" s="7"/>
      <c r="X931" s="7"/>
    </row>
    <row r="932" spans="18:24">
      <c r="R932" s="8"/>
      <c r="S932" s="8"/>
      <c r="T932" s="8"/>
      <c r="W932" s="7"/>
      <c r="X932" s="7"/>
    </row>
    <row r="933" spans="18:24">
      <c r="R933" s="8"/>
      <c r="S933" s="8"/>
      <c r="T933" s="8"/>
      <c r="W933" s="7"/>
      <c r="X933" s="7"/>
    </row>
    <row r="934" spans="18:24">
      <c r="R934" s="8"/>
      <c r="S934" s="8"/>
      <c r="T934" s="8"/>
      <c r="W934" s="7"/>
      <c r="X934" s="7"/>
    </row>
    <row r="935" spans="18:24">
      <c r="R935" s="8"/>
      <c r="S935" s="8"/>
      <c r="T935" s="8"/>
      <c r="W935" s="7"/>
      <c r="X935" s="7"/>
    </row>
    <row r="936" spans="18:24">
      <c r="R936" s="8"/>
      <c r="S936" s="8"/>
      <c r="T936" s="8"/>
      <c r="W936" s="7"/>
      <c r="X936" s="7"/>
    </row>
    <row r="937" spans="18:24">
      <c r="R937" s="8"/>
      <c r="S937" s="8"/>
      <c r="T937" s="8"/>
      <c r="W937" s="7"/>
      <c r="X937" s="7"/>
    </row>
    <row r="938" spans="18:24">
      <c r="R938" s="8"/>
      <c r="S938" s="8"/>
      <c r="T938" s="8"/>
      <c r="W938" s="7"/>
      <c r="X938" s="7"/>
    </row>
    <row r="939" spans="18:24">
      <c r="R939" s="8"/>
      <c r="S939" s="8"/>
      <c r="T939" s="8"/>
      <c r="W939" s="7"/>
      <c r="X939" s="7"/>
    </row>
    <row r="940" spans="18:24">
      <c r="R940" s="8"/>
      <c r="S940" s="8"/>
      <c r="T940" s="8"/>
      <c r="W940" s="7"/>
      <c r="X940" s="7"/>
    </row>
    <row r="941" spans="18:24">
      <c r="R941" s="8"/>
      <c r="S941" s="8"/>
      <c r="T941" s="8"/>
      <c r="W941" s="7"/>
      <c r="X941" s="7"/>
    </row>
    <row r="942" spans="18:24">
      <c r="R942" s="8"/>
      <c r="S942" s="8"/>
      <c r="T942" s="8"/>
      <c r="W942" s="7"/>
      <c r="X942" s="7"/>
    </row>
    <row r="943" spans="18:24">
      <c r="R943" s="8"/>
      <c r="S943" s="8"/>
      <c r="T943" s="8"/>
      <c r="W943" s="7"/>
      <c r="X943" s="7"/>
    </row>
    <row r="944" spans="18:24">
      <c r="R944" s="8"/>
      <c r="S944" s="8"/>
      <c r="T944" s="8"/>
      <c r="W944" s="7"/>
      <c r="X944" s="7"/>
    </row>
    <row r="945" spans="18:24">
      <c r="R945" s="8"/>
      <c r="S945" s="8"/>
      <c r="T945" s="8"/>
      <c r="W945" s="7"/>
      <c r="X945" s="7"/>
    </row>
    <row r="946" spans="18:24">
      <c r="R946" s="8"/>
      <c r="S946" s="8"/>
      <c r="T946" s="8"/>
      <c r="W946" s="7"/>
      <c r="X946" s="7"/>
    </row>
    <row r="947" spans="18:24">
      <c r="R947" s="8"/>
      <c r="S947" s="8"/>
      <c r="T947" s="8"/>
      <c r="W947" s="7"/>
      <c r="X947" s="7"/>
    </row>
    <row r="948" spans="18:24">
      <c r="R948" s="8"/>
      <c r="S948" s="8"/>
      <c r="T948" s="8"/>
      <c r="W948" s="7"/>
      <c r="X948" s="7"/>
    </row>
    <row r="949" spans="18:24">
      <c r="R949" s="8"/>
      <c r="S949" s="8"/>
      <c r="T949" s="8"/>
      <c r="W949" s="7"/>
      <c r="X949" s="7"/>
    </row>
    <row r="950" spans="18:24">
      <c r="R950" s="8"/>
      <c r="S950" s="8"/>
      <c r="T950" s="8"/>
      <c r="W950" s="7"/>
      <c r="X950" s="7"/>
    </row>
    <row r="951" spans="18:24">
      <c r="R951" s="8"/>
      <c r="S951" s="8"/>
      <c r="T951" s="8"/>
      <c r="W951" s="7"/>
      <c r="X951" s="7"/>
    </row>
    <row r="952" spans="18:24">
      <c r="R952" s="8"/>
      <c r="S952" s="8"/>
      <c r="T952" s="8"/>
      <c r="W952" s="7"/>
      <c r="X952" s="7"/>
    </row>
    <row r="953" spans="18:24">
      <c r="R953" s="8"/>
      <c r="S953" s="8"/>
      <c r="T953" s="8"/>
      <c r="W953" s="7"/>
      <c r="X953" s="7"/>
    </row>
    <row r="954" spans="18:24">
      <c r="R954" s="8"/>
      <c r="S954" s="8"/>
      <c r="T954" s="8"/>
      <c r="W954" s="7"/>
      <c r="X954" s="7"/>
    </row>
    <row r="955" spans="18:24">
      <c r="R955" s="8"/>
      <c r="S955" s="8"/>
      <c r="T955" s="8"/>
      <c r="W955" s="7"/>
      <c r="X955" s="7"/>
    </row>
    <row r="956" spans="18:24">
      <c r="R956" s="8"/>
      <c r="S956" s="8"/>
      <c r="T956" s="8"/>
      <c r="W956" s="7"/>
      <c r="X956" s="7"/>
    </row>
    <row r="957" spans="18:24">
      <c r="R957" s="8"/>
      <c r="S957" s="8"/>
      <c r="T957" s="8"/>
      <c r="W957" s="7"/>
      <c r="X957" s="7"/>
    </row>
    <row r="958" spans="18:24">
      <c r="R958" s="8"/>
      <c r="S958" s="8"/>
      <c r="T958" s="8"/>
      <c r="W958" s="7"/>
      <c r="X958" s="7"/>
    </row>
    <row r="959" spans="18:24">
      <c r="R959" s="8"/>
      <c r="S959" s="8"/>
      <c r="T959" s="8"/>
      <c r="W959" s="7"/>
      <c r="X959" s="7"/>
    </row>
    <row r="960" spans="18:24">
      <c r="R960" s="8"/>
      <c r="S960" s="8"/>
      <c r="T960" s="8"/>
      <c r="W960" s="7"/>
      <c r="X960" s="7"/>
    </row>
    <row r="961" spans="18:24">
      <c r="R961" s="8"/>
      <c r="S961" s="8"/>
      <c r="T961" s="8"/>
      <c r="W961" s="7"/>
      <c r="X961" s="7"/>
    </row>
    <row r="962" spans="18:24">
      <c r="R962" s="8"/>
      <c r="S962" s="8"/>
      <c r="T962" s="8"/>
      <c r="W962" s="7"/>
      <c r="X962" s="7"/>
    </row>
    <row r="963" spans="18:24">
      <c r="R963" s="8"/>
      <c r="S963" s="8"/>
      <c r="T963" s="8"/>
      <c r="W963" s="7"/>
      <c r="X963" s="7"/>
    </row>
    <row r="964" spans="18:24">
      <c r="R964" s="8"/>
      <c r="S964" s="8"/>
      <c r="T964" s="8"/>
      <c r="W964" s="7"/>
      <c r="X964" s="7"/>
    </row>
    <row r="965" spans="18:24">
      <c r="X965" s="7"/>
    </row>
  </sheetData>
  <mergeCells count="3">
    <mergeCell ref="A1:D1"/>
    <mergeCell ref="E1:R1"/>
    <mergeCell ref="P2:R2"/>
  </mergeCells>
  <pageMargins left="0.55118110236220474" right="0.39370078740157483" top="0.55118110236220474" bottom="0.39370078740157483" header="0.51181102362204722" footer="0.51181102362204722"/>
  <pageSetup paperSize="9" scale="75" orientation="landscape" r:id="rId1"/>
  <headerFooter alignWithMargins="0"/>
  <ignoredErrors>
    <ignoredError sqref="Q4" 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ACBD6839BDD040B1D0CA38A4A72B20" ma:contentTypeVersion="25" ma:contentTypeDescription="Create a new document." ma:contentTypeScope="" ma:versionID="93bf7eac75115fdc77e5d15edfdca52b">
  <xsd:schema xmlns:xsd="http://www.w3.org/2001/XMLSchema" xmlns:xs="http://www.w3.org/2001/XMLSchema" xmlns:p="http://schemas.microsoft.com/office/2006/metadata/properties" xmlns:ns2="e26cd62d-8f0f-4b37-a208-a0c98333c836" xmlns:ns3="7bdbfaba-addc-4ef5-a19e-1af729a4b030" targetNamespace="http://schemas.microsoft.com/office/2006/metadata/properties" ma:root="true" ma:fieldsID="6f2e756e346d685173f95d9db9592383" ns2:_="" ns3:_="">
    <xsd:import namespace="e26cd62d-8f0f-4b37-a208-a0c98333c836"/>
    <xsd:import namespace="7bdbfaba-addc-4ef5-a19e-1af729a4b0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Numbe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ServiceOCR" minOccurs="0"/>
                <xsd:element ref="ns3:COO_x0020_Doc_x0020_Type" minOccurs="0"/>
                <xsd:element ref="ns3:Doc_x0020_Numbe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Index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6cd62d-8f0f-4b37-a208-a0c98333c8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Number" ma:index="12" nillable="true" ma:displayName="Number" ma:format="Dropdown" ma:indexed="true" ma:internalName="Number" ma:percentage="FALSE">
      <xsd:simpleType>
        <xsd:restriction base="dms:Number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19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2113186-39af-432d-951a-a58ab5eae6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Index" ma:index="28" nillable="true" ma:displayName="Index" ma:format="Dropdown" ma:internalName="Index" ma:percentage="FALSE">
      <xsd:simpleType>
        <xsd:restriction base="dms:Number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dbfaba-addc-4ef5-a19e-1af729a4b03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O_x0020_Doc_x0020_Type" ma:index="21" nillable="true" ma:displayName="COO Doc Type" ma:format="Dropdown" ma:internalName="COO_x0020_Doc_x0020_Type">
      <xsd:simpleType>
        <xsd:restriction base="dms:Choice">
          <xsd:enumeration value="CCR"/>
          <xsd:enumeration value="CON"/>
          <xsd:enumeration value="CST"/>
          <xsd:enumeration value="DRD"/>
          <xsd:enumeration value="EXT"/>
          <xsd:enumeration value="GRA"/>
          <xsd:enumeration value="ICD"/>
          <xsd:enumeration value="JOU"/>
          <xsd:enumeration value="MGT"/>
          <xsd:enumeration value="PHO"/>
          <xsd:enumeration value="PRE"/>
          <xsd:enumeration value="SCH"/>
          <xsd:enumeration value="SCI"/>
          <xsd:enumeration value="SPE"/>
          <xsd:enumeration value="TEC"/>
          <xsd:enumeration value="TMP"/>
        </xsd:restriction>
      </xsd:simpleType>
    </xsd:element>
    <xsd:element name="Doc_x0020_Number" ma:index="22" nillable="true" ma:displayName="COO Doc No" ma:indexed="true" ma:internalName="Doc_x0020_Number">
      <xsd:simpleType>
        <xsd:restriction base="dms:Text">
          <xsd:maxLength value="255"/>
        </xsd:restriction>
      </xsd:simpleType>
    </xsd:element>
    <xsd:element name="TaxCatchAll" ma:index="27" nillable="true" ma:displayName="Taxonomy Catch All Column" ma:hidden="true" ma:list="{bc98e8f2-6689-4eb7-b093-f8f535e5ba23}" ma:internalName="TaxCatchAll" ma:showField="CatchAllData" ma:web="7bdbfaba-addc-4ef5-a19e-1af729a4b0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4E35D9-E421-4A09-8DE9-8959FB9932E8}"/>
</file>

<file path=customXml/itemProps2.xml><?xml version="1.0" encoding="utf-8"?>
<ds:datastoreItem xmlns:ds="http://schemas.openxmlformats.org/officeDocument/2006/customXml" ds:itemID="{09673D8E-587E-45DC-B016-A37C475448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mazé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LVF</dc:creator>
  <cp:keywords/>
  <dc:description/>
  <cp:lastModifiedBy>X</cp:lastModifiedBy>
  <cp:revision/>
  <dcterms:created xsi:type="dcterms:W3CDTF">2002-09-19T08:11:13Z</dcterms:created>
  <dcterms:modified xsi:type="dcterms:W3CDTF">2024-11-07T02:52:18Z</dcterms:modified>
  <cp:category/>
  <cp:contentStatus/>
</cp:coreProperties>
</file>